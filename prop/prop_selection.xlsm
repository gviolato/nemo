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Dropbox\GitHub\prop\"/>
    </mc:Choice>
  </mc:AlternateContent>
  <bookViews>
    <workbookView xWindow="0" yWindow="0" windowWidth="20490" windowHeight="7760" tabRatio="771"/>
  </bookViews>
  <sheets>
    <sheet name="drive340m" sheetId="34" r:id="rId1"/>
    <sheet name="nbe400fast" sheetId="17" state="hidden" r:id="rId2"/>
    <sheet name="200" sheetId="31" state="hidden" r:id="rId3"/>
    <sheet name="280i" sheetId="36" state="hidden" r:id="rId4"/>
    <sheet name="300i" sheetId="25" state="hidden" r:id="rId5"/>
    <sheet name="320i" sheetId="37" state="hidden" r:id="rId6"/>
    <sheet name="340i" sheetId="30" state="hidden" r:id="rId7"/>
    <sheet name="440" sheetId="33" state="hidden" r:id="rId8"/>
    <sheet name="340m" sheetId="38" r:id="rId9"/>
    <sheet name="Sizes" sheetId="27" state="hidden" r:id="rId10"/>
    <sheet name="load" sheetId="35" r:id="rId11"/>
    <sheet name="400" sheetId="14" state="hidden" r:id="rId12"/>
    <sheet name="hEng" sheetId="2" state="hidden" r:id="rId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" i="35" l="1"/>
  <c r="H5" i="35"/>
  <c r="T13" i="38" l="1"/>
  <c r="T14" i="38" l="1"/>
  <c r="T11" i="38"/>
  <c r="R23" i="38" l="1"/>
  <c r="R21" i="38"/>
  <c r="AB18" i="38"/>
  <c r="V16" i="38"/>
  <c r="Z16" i="38" s="1"/>
  <c r="AA16" i="38" s="1"/>
  <c r="T16" i="38"/>
  <c r="T15" i="38"/>
  <c r="V15" i="38" s="1"/>
  <c r="Z15" i="38" s="1"/>
  <c r="AA15" i="38" s="1"/>
  <c r="V14" i="38"/>
  <c r="Z14" i="38" s="1"/>
  <c r="AA14" i="38" s="1"/>
  <c r="T12" i="38"/>
  <c r="V12" i="38" s="1"/>
  <c r="Z12" i="38" s="1"/>
  <c r="AA12" i="38" s="1"/>
  <c r="V11" i="38"/>
  <c r="Z11" i="38" s="1"/>
  <c r="AA11" i="38" s="1"/>
  <c r="I6" i="38" a="1"/>
  <c r="K6" i="38" s="1"/>
  <c r="C5" i="38"/>
  <c r="V4" i="38"/>
  <c r="I4" i="38" a="1"/>
  <c r="L4" i="38" s="1"/>
  <c r="C4" i="38"/>
  <c r="V3" i="38"/>
  <c r="C3" i="38"/>
  <c r="I2" i="38" a="1"/>
  <c r="M2" i="38" s="1"/>
  <c r="V13" i="38" l="1"/>
  <c r="J2" i="38"/>
  <c r="K2" i="38"/>
  <c r="N2" i="38"/>
  <c r="L2" i="38"/>
  <c r="I6" i="38"/>
  <c r="W11" i="38"/>
  <c r="X11" i="38" s="1"/>
  <c r="Y11" i="38" s="1"/>
  <c r="Y21" i="38" s="1"/>
  <c r="W12" i="38"/>
  <c r="X12" i="38" s="1"/>
  <c r="W14" i="38"/>
  <c r="X14" i="38" s="1"/>
  <c r="Y14" i="38" s="1"/>
  <c r="Y24" i="38" s="1"/>
  <c r="W15" i="38"/>
  <c r="X15" i="38" s="1"/>
  <c r="W16" i="38"/>
  <c r="X16" i="38" s="1"/>
  <c r="Y16" i="38" s="1"/>
  <c r="I4" i="38"/>
  <c r="M4" i="38"/>
  <c r="L6" i="38"/>
  <c r="J4" i="38"/>
  <c r="N4" i="38"/>
  <c r="M6" i="38"/>
  <c r="I2" i="38"/>
  <c r="K4" i="38"/>
  <c r="J6" i="38"/>
  <c r="N6" i="38"/>
  <c r="AB11" i="38"/>
  <c r="AD21" i="38" s="1"/>
  <c r="AB12" i="38"/>
  <c r="AD22" i="38" s="1"/>
  <c r="AB14" i="38"/>
  <c r="AD24" i="38" s="1"/>
  <c r="AB15" i="38"/>
  <c r="AD25" i="38" s="1"/>
  <c r="AB16" i="38"/>
  <c r="Y12" i="38"/>
  <c r="Y22" i="38" s="1"/>
  <c r="Y15" i="38"/>
  <c r="Y25" i="38" s="1"/>
  <c r="I6" i="35"/>
  <c r="I7" i="35"/>
  <c r="I8" i="35"/>
  <c r="I9" i="35"/>
  <c r="I10" i="35"/>
  <c r="I11" i="35"/>
  <c r="I12" i="35"/>
  <c r="I13" i="35"/>
  <c r="I14" i="35"/>
  <c r="I15" i="35"/>
  <c r="I16" i="35"/>
  <c r="I17" i="35"/>
  <c r="I18" i="35"/>
  <c r="I19" i="35"/>
  <c r="I20" i="35"/>
  <c r="I21" i="35"/>
  <c r="I22" i="35"/>
  <c r="I23" i="35"/>
  <c r="I24" i="35"/>
  <c r="I25" i="35"/>
  <c r="I26" i="35"/>
  <c r="I27" i="35"/>
  <c r="I28" i="35"/>
  <c r="I29" i="35"/>
  <c r="I5" i="35"/>
  <c r="P9" i="35"/>
  <c r="P10" i="35" s="1"/>
  <c r="P11" i="35" s="1"/>
  <c r="P12" i="35" s="1"/>
  <c r="P13" i="35" s="1"/>
  <c r="P8" i="35"/>
  <c r="O14" i="35"/>
  <c r="O7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5" i="35"/>
  <c r="K6" i="35"/>
  <c r="K7" i="35"/>
  <c r="K8" i="35"/>
  <c r="K9" i="35"/>
  <c r="K10" i="35"/>
  <c r="K11" i="35"/>
  <c r="K12" i="35"/>
  <c r="K13" i="35"/>
  <c r="K14" i="35"/>
  <c r="K5" i="35"/>
  <c r="Z13" i="38" l="1"/>
  <c r="AA13" i="38" s="1"/>
  <c r="AB13" i="38" s="1"/>
  <c r="AD23" i="38" s="1"/>
  <c r="W13" i="38"/>
  <c r="X13" i="38" s="1"/>
  <c r="Y13" i="38" s="1"/>
  <c r="Y23" i="38" s="1"/>
  <c r="I6" i="36" a="1"/>
  <c r="I6" i="36" s="1"/>
  <c r="I4" i="36" a="1"/>
  <c r="I4" i="36" s="1"/>
  <c r="I2" i="36" a="1"/>
  <c r="J2" i="36" s="1"/>
  <c r="C4" i="36"/>
  <c r="C5" i="36"/>
  <c r="C3" i="36"/>
  <c r="N6" i="36" l="1"/>
  <c r="L6" i="36"/>
  <c r="K6" i="36"/>
  <c r="J6" i="36"/>
  <c r="M6" i="36"/>
  <c r="L4" i="36"/>
  <c r="K4" i="36"/>
  <c r="N4" i="36"/>
  <c r="J4" i="36"/>
  <c r="M4" i="36"/>
  <c r="M2" i="36"/>
  <c r="I2" i="36"/>
  <c r="L2" i="36"/>
  <c r="K2" i="36"/>
  <c r="N2" i="36"/>
  <c r="I6" i="30" l="1" a="1"/>
  <c r="I6" i="30" s="1"/>
  <c r="I4" i="30" a="1"/>
  <c r="I4" i="30" s="1"/>
  <c r="I2" i="30" a="1"/>
  <c r="I2" i="30" s="1"/>
  <c r="C5" i="30"/>
  <c r="C4" i="30"/>
  <c r="C3" i="30"/>
  <c r="I6" i="37" a="1"/>
  <c r="I6" i="37" s="1"/>
  <c r="I4" i="37" a="1"/>
  <c r="J4" i="37" s="1"/>
  <c r="I2" i="37" a="1"/>
  <c r="I2" i="37" s="1"/>
  <c r="C4" i="37"/>
  <c r="C3" i="37"/>
  <c r="C5" i="37"/>
  <c r="C5" i="25"/>
  <c r="I2" i="25" a="1"/>
  <c r="I2" i="25" s="1"/>
  <c r="T13" i="36"/>
  <c r="T13" i="25"/>
  <c r="T13" i="37"/>
  <c r="L6" i="30" l="1"/>
  <c r="K6" i="30"/>
  <c r="N6" i="30"/>
  <c r="J6" i="30"/>
  <c r="M6" i="30"/>
  <c r="L4" i="30"/>
  <c r="K4" i="30"/>
  <c r="N4" i="30"/>
  <c r="J4" i="30"/>
  <c r="M4" i="30"/>
  <c r="L2" i="30"/>
  <c r="K2" i="30"/>
  <c r="N2" i="30"/>
  <c r="J2" i="30"/>
  <c r="M2" i="30"/>
  <c r="L6" i="37"/>
  <c r="N6" i="37"/>
  <c r="J6" i="37"/>
  <c r="K6" i="37"/>
  <c r="M6" i="37"/>
  <c r="M4" i="37"/>
  <c r="I4" i="37"/>
  <c r="L4" i="37"/>
  <c r="K4" i="37"/>
  <c r="N4" i="37"/>
  <c r="L2" i="37"/>
  <c r="K2" i="37"/>
  <c r="N2" i="37"/>
  <c r="J2" i="37"/>
  <c r="M2" i="37"/>
  <c r="L2" i="25"/>
  <c r="K2" i="25"/>
  <c r="N2" i="25"/>
  <c r="J2" i="25"/>
  <c r="M2" i="25"/>
  <c r="R21" i="36"/>
  <c r="R21" i="25"/>
  <c r="R19" i="25"/>
  <c r="R23" i="37"/>
  <c r="R23" i="30"/>
  <c r="R21" i="30"/>
  <c r="T13" i="30" s="1"/>
  <c r="R21" i="37"/>
  <c r="R19" i="36"/>
  <c r="V14" i="25"/>
  <c r="V15" i="25"/>
  <c r="T10" i="25"/>
  <c r="V16" i="25"/>
  <c r="V11" i="25"/>
  <c r="V12" i="25"/>
  <c r="V13" i="25"/>
  <c r="AB18" i="37" l="1"/>
  <c r="T16" i="37"/>
  <c r="V16" i="37" s="1"/>
  <c r="T15" i="37"/>
  <c r="V15" i="37" s="1"/>
  <c r="T14" i="37"/>
  <c r="V14" i="37" s="1"/>
  <c r="V13" i="37"/>
  <c r="T12" i="37"/>
  <c r="V12" i="37" s="1"/>
  <c r="W11" i="37"/>
  <c r="X11" i="37" s="1"/>
  <c r="V11" i="37"/>
  <c r="Z11" i="37" s="1"/>
  <c r="AA11" i="37" s="1"/>
  <c r="T11" i="37"/>
  <c r="V4" i="37"/>
  <c r="V3" i="37"/>
  <c r="AB18" i="36"/>
  <c r="T16" i="36"/>
  <c r="V16" i="36" s="1"/>
  <c r="T15" i="36"/>
  <c r="V15" i="36" s="1"/>
  <c r="T14" i="36"/>
  <c r="V14" i="36" s="1"/>
  <c r="V13" i="36"/>
  <c r="W12" i="36"/>
  <c r="X12" i="36" s="1"/>
  <c r="V12" i="36"/>
  <c r="Z12" i="36" s="1"/>
  <c r="AA12" i="36" s="1"/>
  <c r="T12" i="36"/>
  <c r="W11" i="36"/>
  <c r="X11" i="36" s="1"/>
  <c r="V11" i="36"/>
  <c r="Z11" i="36" s="1"/>
  <c r="AA11" i="36" s="1"/>
  <c r="T11" i="36"/>
  <c r="V4" i="36"/>
  <c r="V3" i="36"/>
  <c r="W12" i="37" l="1"/>
  <c r="X12" i="37" s="1"/>
  <c r="Z12" i="37"/>
  <c r="AA12" i="37" s="1"/>
  <c r="W16" i="37"/>
  <c r="X16" i="37" s="1"/>
  <c r="Z16" i="37"/>
  <c r="AA16" i="37" s="1"/>
  <c r="AB16" i="37" s="1"/>
  <c r="W13" i="37"/>
  <c r="X13" i="37" s="1"/>
  <c r="Y13" i="37" s="1"/>
  <c r="Z23" i="37" s="1"/>
  <c r="Z13" i="37"/>
  <c r="AA13" i="37" s="1"/>
  <c r="AB13" i="37" s="1"/>
  <c r="AF23" i="37" s="1"/>
  <c r="W14" i="37"/>
  <c r="X14" i="37" s="1"/>
  <c r="Z14" i="37"/>
  <c r="AA14" i="37" s="1"/>
  <c r="AB14" i="37" s="1"/>
  <c r="AF24" i="37" s="1"/>
  <c r="Y16" i="37"/>
  <c r="W15" i="37"/>
  <c r="X15" i="37" s="1"/>
  <c r="Z15" i="37"/>
  <c r="AA15" i="37" s="1"/>
  <c r="AB15" i="37" s="1"/>
  <c r="AF25" i="37" s="1"/>
  <c r="AB11" i="37"/>
  <c r="AF21" i="37" s="1"/>
  <c r="Y11" i="37"/>
  <c r="Z21" i="37" s="1"/>
  <c r="Y12" i="37"/>
  <c r="Z22" i="37" s="1"/>
  <c r="Y14" i="37"/>
  <c r="Z24" i="37" s="1"/>
  <c r="Y15" i="37"/>
  <c r="Z25" i="37" s="1"/>
  <c r="AB12" i="37"/>
  <c r="AF22" i="37" s="1"/>
  <c r="W13" i="36"/>
  <c r="X13" i="36" s="1"/>
  <c r="Y13" i="36" s="1"/>
  <c r="Z23" i="36" s="1"/>
  <c r="Z13" i="36"/>
  <c r="AA13" i="36" s="1"/>
  <c r="AB13" i="36" s="1"/>
  <c r="AF23" i="36" s="1"/>
  <c r="W14" i="36"/>
  <c r="X14" i="36" s="1"/>
  <c r="Y14" i="36" s="1"/>
  <c r="Z24" i="36" s="1"/>
  <c r="Z14" i="36"/>
  <c r="AA14" i="36" s="1"/>
  <c r="AB14" i="36" s="1"/>
  <c r="AF24" i="36" s="1"/>
  <c r="W15" i="36"/>
  <c r="X15" i="36" s="1"/>
  <c r="Y15" i="36" s="1"/>
  <c r="Z25" i="36" s="1"/>
  <c r="Z15" i="36"/>
  <c r="AA15" i="36" s="1"/>
  <c r="W16" i="36"/>
  <c r="X16" i="36" s="1"/>
  <c r="Y16" i="36" s="1"/>
  <c r="Z16" i="36"/>
  <c r="AA16" i="36" s="1"/>
  <c r="AB16" i="36" s="1"/>
  <c r="Y11" i="36"/>
  <c r="Z21" i="36" s="1"/>
  <c r="Y12" i="36"/>
  <c r="Z22" i="36" s="1"/>
  <c r="AB11" i="36"/>
  <c r="AF21" i="36" s="1"/>
  <c r="AB12" i="36"/>
  <c r="AF22" i="36" s="1"/>
  <c r="AB15" i="36"/>
  <c r="AF25" i="36" s="1"/>
  <c r="K24" i="35"/>
  <c r="L24" i="35" s="1"/>
  <c r="K25" i="35"/>
  <c r="L25" i="35" s="1"/>
  <c r="K26" i="35"/>
  <c r="K27" i="35"/>
  <c r="K28" i="35"/>
  <c r="L28" i="35" s="1"/>
  <c r="K29" i="35"/>
  <c r="L29" i="35" s="1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109" i="35"/>
  <c r="K110" i="35"/>
  <c r="K111" i="35"/>
  <c r="K112" i="35"/>
  <c r="K113" i="35"/>
  <c r="K114" i="35"/>
  <c r="K115" i="35"/>
  <c r="K116" i="35"/>
  <c r="K117" i="35"/>
  <c r="K118" i="35"/>
  <c r="K119" i="35"/>
  <c r="K120" i="35"/>
  <c r="K121" i="35"/>
  <c r="K122" i="35"/>
  <c r="K123" i="35"/>
  <c r="K124" i="35"/>
  <c r="K125" i="35"/>
  <c r="K126" i="35"/>
  <c r="K127" i="35"/>
  <c r="K128" i="35"/>
  <c r="K129" i="35"/>
  <c r="K130" i="35"/>
  <c r="K131" i="35"/>
  <c r="K132" i="35"/>
  <c r="K133" i="35"/>
  <c r="K134" i="35"/>
  <c r="L26" i="35"/>
  <c r="L27" i="35"/>
  <c r="S6" i="35"/>
  <c r="S7" i="35"/>
  <c r="S8" i="35"/>
  <c r="S9" i="35"/>
  <c r="S10" i="35"/>
  <c r="S11" i="35"/>
  <c r="S12" i="35"/>
  <c r="S13" i="35"/>
  <c r="S14" i="35"/>
  <c r="S15" i="35"/>
  <c r="S16" i="35"/>
  <c r="S17" i="35"/>
  <c r="S18" i="35"/>
  <c r="S19" i="35"/>
  <c r="S20" i="35"/>
  <c r="S21" i="35"/>
  <c r="S22" i="35"/>
  <c r="S23" i="35"/>
  <c r="S24" i="35"/>
  <c r="S25" i="35"/>
  <c r="S26" i="35"/>
  <c r="S27" i="35"/>
  <c r="S28" i="35"/>
  <c r="S29" i="35"/>
  <c r="Q6" i="35"/>
  <c r="Q7" i="35"/>
  <c r="Q8" i="35"/>
  <c r="Q9" i="35"/>
  <c r="Q10" i="35"/>
  <c r="Q11" i="35"/>
  <c r="Q12" i="35"/>
  <c r="Q13" i="35"/>
  <c r="Q14" i="35"/>
  <c r="Q15" i="35"/>
  <c r="Q16" i="35"/>
  <c r="Q17" i="35"/>
  <c r="Q18" i="35"/>
  <c r="Q19" i="35"/>
  <c r="Q20" i="35"/>
  <c r="Q21" i="35"/>
  <c r="Q22" i="35"/>
  <c r="Q23" i="35"/>
  <c r="Q24" i="35"/>
  <c r="Q25" i="35"/>
  <c r="Q26" i="35"/>
  <c r="Q27" i="35"/>
  <c r="Q28" i="35"/>
  <c r="Q29" i="35"/>
  <c r="S5" i="35"/>
  <c r="Q5" i="35"/>
  <c r="H13" i="35"/>
  <c r="H25" i="35"/>
  <c r="H29" i="35"/>
  <c r="J3" i="35"/>
  <c r="Q3" i="35" l="1"/>
  <c r="R1" i="35" a="1"/>
  <c r="H21" i="35"/>
  <c r="H9" i="35"/>
  <c r="H17" i="35"/>
  <c r="Q4" i="35"/>
  <c r="N3" i="35" s="1"/>
  <c r="N4" i="35" s="1"/>
  <c r="H7" i="35"/>
  <c r="H27" i="35"/>
  <c r="H23" i="35"/>
  <c r="H19" i="35"/>
  <c r="H15" i="35"/>
  <c r="H11" i="35"/>
  <c r="H10" i="35"/>
  <c r="H6" i="35"/>
  <c r="H26" i="35"/>
  <c r="H22" i="35"/>
  <c r="H18" i="35"/>
  <c r="H14" i="35"/>
  <c r="H8" i="35"/>
  <c r="H28" i="35"/>
  <c r="H24" i="35"/>
  <c r="H20" i="35"/>
  <c r="H16" i="35"/>
  <c r="H12" i="35"/>
  <c r="C18" i="34"/>
  <c r="C4" i="33"/>
  <c r="C3" i="33"/>
  <c r="I6" i="33" a="1"/>
  <c r="I6" i="33" s="1"/>
  <c r="I4" i="33" a="1"/>
  <c r="J4" i="33" s="1"/>
  <c r="I2" i="33" a="1"/>
  <c r="I2" i="33" s="1"/>
  <c r="AB18" i="33"/>
  <c r="V16" i="33"/>
  <c r="V15" i="33"/>
  <c r="V14" i="33"/>
  <c r="V13" i="33"/>
  <c r="V12" i="33"/>
  <c r="V11" i="33"/>
  <c r="C5" i="33"/>
  <c r="V4" i="33"/>
  <c r="V3" i="33"/>
  <c r="C3" i="31"/>
  <c r="C17" i="34"/>
  <c r="C12" i="34"/>
  <c r="C14" i="34"/>
  <c r="C13" i="34"/>
  <c r="C11" i="34"/>
  <c r="N2" i="35" l="1"/>
  <c r="R1" i="35"/>
  <c r="S1" i="35"/>
  <c r="V1" i="35"/>
  <c r="U1" i="35"/>
  <c r="T1" i="35"/>
  <c r="M9" i="34"/>
  <c r="N9" i="34" s="1"/>
  <c r="O9" i="34" s="1"/>
  <c r="M14" i="34"/>
  <c r="N14" i="34" s="1"/>
  <c r="O14" i="34" s="1"/>
  <c r="M12" i="34"/>
  <c r="N12" i="34" s="1"/>
  <c r="O12" i="34" s="1"/>
  <c r="M13" i="34"/>
  <c r="N13" i="34" s="1"/>
  <c r="O13" i="34" s="1"/>
  <c r="M11" i="34"/>
  <c r="N11" i="34" s="1"/>
  <c r="O11" i="34" s="1"/>
  <c r="M8" i="34"/>
  <c r="N8" i="34" s="1"/>
  <c r="O8" i="34" s="1"/>
  <c r="M5" i="34"/>
  <c r="N5" i="34" s="1"/>
  <c r="O5" i="34" s="1"/>
  <c r="M15" i="34"/>
  <c r="N15" i="34" s="1"/>
  <c r="O15" i="34" s="1"/>
  <c r="M7" i="34"/>
  <c r="N7" i="34" s="1"/>
  <c r="O7" i="34" s="1"/>
  <c r="M10" i="34"/>
  <c r="N10" i="34" s="1"/>
  <c r="O10" i="34" s="1"/>
  <c r="M6" i="34"/>
  <c r="N6" i="34" s="1"/>
  <c r="O6" i="34" s="1"/>
  <c r="M4" i="34"/>
  <c r="N4" i="34" s="1"/>
  <c r="O4" i="34" s="1"/>
  <c r="K6" i="33"/>
  <c r="N6" i="33"/>
  <c r="J6" i="33"/>
  <c r="L6" i="33"/>
  <c r="M6" i="33"/>
  <c r="M4" i="33"/>
  <c r="I4" i="33"/>
  <c r="L4" i="33"/>
  <c r="K4" i="33"/>
  <c r="N4" i="33"/>
  <c r="K2" i="33"/>
  <c r="N2" i="33"/>
  <c r="J2" i="33"/>
  <c r="L2" i="33"/>
  <c r="M2" i="33"/>
  <c r="W14" i="33"/>
  <c r="X14" i="33" s="1"/>
  <c r="Y14" i="33" s="1"/>
  <c r="Z24" i="33" s="1"/>
  <c r="Z14" i="33"/>
  <c r="AA14" i="33" s="1"/>
  <c r="AB14" i="33" s="1"/>
  <c r="AF24" i="33" s="1"/>
  <c r="W11" i="33"/>
  <c r="X11" i="33" s="1"/>
  <c r="Y11" i="33" s="1"/>
  <c r="Z21" i="33" s="1"/>
  <c r="Z11" i="33"/>
  <c r="AA11" i="33" s="1"/>
  <c r="AB11" i="33" s="1"/>
  <c r="AF21" i="33" s="1"/>
  <c r="W15" i="33"/>
  <c r="X15" i="33" s="1"/>
  <c r="Y15" i="33" s="1"/>
  <c r="Z25" i="33" s="1"/>
  <c r="Z15" i="33"/>
  <c r="AA15" i="33" s="1"/>
  <c r="AB15" i="33" s="1"/>
  <c r="AF25" i="33" s="1"/>
  <c r="W12" i="33"/>
  <c r="X12" i="33" s="1"/>
  <c r="Y12" i="33" s="1"/>
  <c r="Z22" i="33" s="1"/>
  <c r="Z12" i="33"/>
  <c r="AA12" i="33" s="1"/>
  <c r="AB12" i="33" s="1"/>
  <c r="AF22" i="33" s="1"/>
  <c r="W16" i="33"/>
  <c r="X16" i="33" s="1"/>
  <c r="Y16" i="33" s="1"/>
  <c r="Z16" i="33"/>
  <c r="AA16" i="33" s="1"/>
  <c r="AB16" i="33" s="1"/>
  <c r="W13" i="33"/>
  <c r="X13" i="33" s="1"/>
  <c r="Y13" i="33" s="1"/>
  <c r="Z23" i="33" s="1"/>
  <c r="Z13" i="33"/>
  <c r="AA13" i="33" s="1"/>
  <c r="AB13" i="33" s="1"/>
  <c r="AF23" i="33" s="1"/>
  <c r="R2" i="35" l="1"/>
  <c r="T2" i="35"/>
  <c r="S2" i="35"/>
  <c r="U2" i="35"/>
  <c r="V2" i="35"/>
  <c r="AB18" i="31"/>
  <c r="V16" i="31"/>
  <c r="V15" i="31"/>
  <c r="V14" i="31"/>
  <c r="V13" i="31"/>
  <c r="V12" i="31"/>
  <c r="V11" i="31"/>
  <c r="I6" i="31" a="1"/>
  <c r="M6" i="31" s="1"/>
  <c r="C5" i="31"/>
  <c r="V4" i="31"/>
  <c r="I4" i="31" a="1"/>
  <c r="N4" i="31" s="1"/>
  <c r="C4" i="31"/>
  <c r="V3" i="31"/>
  <c r="I2" i="31" a="1"/>
  <c r="K2" i="31" s="1"/>
  <c r="R9" i="34"/>
  <c r="R14" i="34"/>
  <c r="Q6" i="34"/>
  <c r="P10" i="34"/>
  <c r="Q8" i="34"/>
  <c r="P11" i="34"/>
  <c r="P8" i="34"/>
  <c r="R6" i="34"/>
  <c r="R12" i="34"/>
  <c r="P12" i="34"/>
  <c r="Q14" i="34"/>
  <c r="Q4" i="34"/>
  <c r="Q13" i="34"/>
  <c r="R5" i="34"/>
  <c r="R8" i="34"/>
  <c r="Q12" i="34"/>
  <c r="P4" i="34"/>
  <c r="P7" i="34"/>
  <c r="Q10" i="34"/>
  <c r="Q7" i="34"/>
  <c r="P15" i="34"/>
  <c r="Q11" i="34"/>
  <c r="R15" i="34"/>
  <c r="R13" i="34"/>
  <c r="P6" i="34"/>
  <c r="Q5" i="34"/>
  <c r="P5" i="34"/>
  <c r="Q15" i="34"/>
  <c r="R4" i="34"/>
  <c r="P9" i="34"/>
  <c r="R7" i="34"/>
  <c r="Q9" i="34"/>
  <c r="R10" i="34"/>
  <c r="P13" i="34"/>
  <c r="P14" i="34"/>
  <c r="R11" i="34"/>
  <c r="L7" i="35" l="1"/>
  <c r="L11" i="35"/>
  <c r="L9" i="35"/>
  <c r="L10" i="35"/>
  <c r="M10" i="35" s="1"/>
  <c r="L8" i="35"/>
  <c r="M8" i="35" s="1"/>
  <c r="L12" i="35"/>
  <c r="M12" i="35" s="1"/>
  <c r="L5" i="35"/>
  <c r="L13" i="35"/>
  <c r="M13" i="35" s="1"/>
  <c r="L6" i="35"/>
  <c r="L14" i="35"/>
  <c r="L16" i="35" s="1"/>
  <c r="T7" i="34"/>
  <c r="K7" i="34" s="1"/>
  <c r="S4" i="34"/>
  <c r="H4" i="34" s="1"/>
  <c r="U4" i="34"/>
  <c r="I4" i="34" s="1"/>
  <c r="J4" i="34" s="1"/>
  <c r="U11" i="34"/>
  <c r="I11" i="34" s="1"/>
  <c r="J11" i="34" s="1"/>
  <c r="S11" i="34"/>
  <c r="H11" i="34" s="1"/>
  <c r="T6" i="34"/>
  <c r="K6" i="34" s="1"/>
  <c r="S13" i="34"/>
  <c r="H13" i="34" s="1"/>
  <c r="U13" i="34"/>
  <c r="I13" i="34" s="1"/>
  <c r="J13" i="34" s="1"/>
  <c r="S6" i="34"/>
  <c r="H6" i="34" s="1"/>
  <c r="U6" i="34"/>
  <c r="I6" i="34" s="1"/>
  <c r="J6" i="34" s="1"/>
  <c r="T13" i="34"/>
  <c r="K13" i="34" s="1"/>
  <c r="S12" i="34"/>
  <c r="H12" i="34" s="1"/>
  <c r="U12" i="34"/>
  <c r="I12" i="34" s="1"/>
  <c r="J12" i="34" s="1"/>
  <c r="T4" i="34"/>
  <c r="K4" i="34" s="1"/>
  <c r="T12" i="34"/>
  <c r="K12" i="34" s="1"/>
  <c r="U9" i="34"/>
  <c r="I9" i="34" s="1"/>
  <c r="J9" i="34" s="1"/>
  <c r="S9" i="34"/>
  <c r="H9" i="34" s="1"/>
  <c r="S14" i="34"/>
  <c r="H14" i="34" s="1"/>
  <c r="U14" i="34"/>
  <c r="I14" i="34" s="1"/>
  <c r="J14" i="34" s="1"/>
  <c r="U5" i="34"/>
  <c r="I5" i="34" s="1"/>
  <c r="J5" i="34" s="1"/>
  <c r="S5" i="34"/>
  <c r="H5" i="34" s="1"/>
  <c r="T5" i="34"/>
  <c r="K5" i="34" s="1"/>
  <c r="T14" i="34"/>
  <c r="K14" i="34" s="1"/>
  <c r="U10" i="34"/>
  <c r="I10" i="34" s="1"/>
  <c r="J10" i="34" s="1"/>
  <c r="S10" i="34"/>
  <c r="H10" i="34" s="1"/>
  <c r="T10" i="34"/>
  <c r="K10" i="34" s="1"/>
  <c r="T8" i="34"/>
  <c r="K8" i="34" s="1"/>
  <c r="S8" i="34"/>
  <c r="H8" i="34" s="1"/>
  <c r="U8" i="34"/>
  <c r="I8" i="34" s="1"/>
  <c r="J8" i="34" s="1"/>
  <c r="T9" i="34"/>
  <c r="K9" i="34" s="1"/>
  <c r="T11" i="34"/>
  <c r="K11" i="34" s="1"/>
  <c r="S15" i="34"/>
  <c r="H15" i="34" s="1"/>
  <c r="U15" i="34"/>
  <c r="I15" i="34" s="1"/>
  <c r="J15" i="34" s="1"/>
  <c r="S7" i="34"/>
  <c r="H7" i="34" s="1"/>
  <c r="U7" i="34"/>
  <c r="I7" i="34" s="1"/>
  <c r="J7" i="34" s="1"/>
  <c r="T15" i="34"/>
  <c r="K15" i="34" s="1"/>
  <c r="W12" i="31"/>
  <c r="X12" i="31" s="1"/>
  <c r="Z12" i="31"/>
  <c r="AA12" i="31" s="1"/>
  <c r="AB12" i="31" s="1"/>
  <c r="AF22" i="31" s="1"/>
  <c r="W16" i="31"/>
  <c r="X16" i="31" s="1"/>
  <c r="Y16" i="31" s="1"/>
  <c r="Z16" i="31"/>
  <c r="AA16" i="31" s="1"/>
  <c r="AB16" i="31" s="1"/>
  <c r="W13" i="31"/>
  <c r="X13" i="31" s="1"/>
  <c r="Y13" i="31" s="1"/>
  <c r="Z23" i="31" s="1"/>
  <c r="Z13" i="31"/>
  <c r="AA13" i="31" s="1"/>
  <c r="AB13" i="31" s="1"/>
  <c r="AF23" i="31" s="1"/>
  <c r="W14" i="31"/>
  <c r="X14" i="31" s="1"/>
  <c r="Y14" i="31" s="1"/>
  <c r="Z24" i="31" s="1"/>
  <c r="Z14" i="31"/>
  <c r="AA14" i="31" s="1"/>
  <c r="AB14" i="31" s="1"/>
  <c r="AF24" i="31" s="1"/>
  <c r="W11" i="31"/>
  <c r="X11" i="31" s="1"/>
  <c r="Y11" i="31" s="1"/>
  <c r="Z21" i="31" s="1"/>
  <c r="Z11" i="31"/>
  <c r="AA11" i="31" s="1"/>
  <c r="AB11" i="31" s="1"/>
  <c r="AF21" i="31" s="1"/>
  <c r="W15" i="31"/>
  <c r="X15" i="31" s="1"/>
  <c r="Y15" i="31" s="1"/>
  <c r="Z25" i="31" s="1"/>
  <c r="Z15" i="31"/>
  <c r="AA15" i="31" s="1"/>
  <c r="AB15" i="31" s="1"/>
  <c r="AF25" i="31" s="1"/>
  <c r="L2" i="31"/>
  <c r="I2" i="31"/>
  <c r="M2" i="31"/>
  <c r="K4" i="31"/>
  <c r="J6" i="31"/>
  <c r="N6" i="31"/>
  <c r="L4" i="31"/>
  <c r="K6" i="31"/>
  <c r="Y12" i="31"/>
  <c r="Z22" i="31" s="1"/>
  <c r="L6" i="31"/>
  <c r="J2" i="31"/>
  <c r="N2" i="31"/>
  <c r="I4" i="31"/>
  <c r="M4" i="31"/>
  <c r="J4" i="31"/>
  <c r="I6" i="31"/>
  <c r="AB18" i="30"/>
  <c r="M7" i="35" l="1"/>
  <c r="N10" i="35"/>
  <c r="N13" i="35"/>
  <c r="N9" i="35"/>
  <c r="N7" i="35"/>
  <c r="N12" i="35"/>
  <c r="N8" i="35"/>
  <c r="N11" i="35"/>
  <c r="M9" i="35"/>
  <c r="M14" i="35"/>
  <c r="N14" i="35" s="1"/>
  <c r="M11" i="35"/>
  <c r="V12" i="30" l="1"/>
  <c r="V13" i="30"/>
  <c r="V14" i="30"/>
  <c r="V15" i="30"/>
  <c r="V16" i="30"/>
  <c r="V11" i="30"/>
  <c r="T12" i="30"/>
  <c r="T14" i="30"/>
  <c r="T15" i="30"/>
  <c r="T16" i="30"/>
  <c r="T11" i="30"/>
  <c r="Z16" i="30" l="1"/>
  <c r="AA16" i="30" s="1"/>
  <c r="W16" i="30"/>
  <c r="X16" i="30" s="1"/>
  <c r="Z15" i="30"/>
  <c r="AA15" i="30" s="1"/>
  <c r="W15" i="30"/>
  <c r="X15" i="30" s="1"/>
  <c r="Z14" i="30"/>
  <c r="AA14" i="30" s="1"/>
  <c r="W14" i="30"/>
  <c r="X14" i="30" s="1"/>
  <c r="Z13" i="30"/>
  <c r="AA13" i="30" s="1"/>
  <c r="W13" i="30"/>
  <c r="X13" i="30" s="1"/>
  <c r="Z12" i="30"/>
  <c r="AA12" i="30" s="1"/>
  <c r="W12" i="30"/>
  <c r="X12" i="30" s="1"/>
  <c r="Z11" i="30"/>
  <c r="AA11" i="30" s="1"/>
  <c r="W11" i="30"/>
  <c r="X11" i="30" s="1"/>
  <c r="V4" i="30"/>
  <c r="V3" i="30"/>
  <c r="Y16" i="30" l="1"/>
  <c r="AB11" i="30"/>
  <c r="AF21" i="30" s="1"/>
  <c r="AB13" i="30"/>
  <c r="AF23" i="30" s="1"/>
  <c r="AB15" i="30"/>
  <c r="AF25" i="30" s="1"/>
  <c r="Y11" i="30"/>
  <c r="Z21" i="30" s="1"/>
  <c r="Y13" i="30"/>
  <c r="Z23" i="30" s="1"/>
  <c r="Y15" i="30"/>
  <c r="Z25" i="30" s="1"/>
  <c r="AB12" i="30"/>
  <c r="AF22" i="30" s="1"/>
  <c r="AB14" i="30"/>
  <c r="AF24" i="30" s="1"/>
  <c r="AB16" i="30"/>
  <c r="Y12" i="30"/>
  <c r="Z22" i="30" s="1"/>
  <c r="Y14" i="30"/>
  <c r="Z24" i="30" s="1"/>
  <c r="W12" i="25" l="1"/>
  <c r="W13" i="25"/>
  <c r="W14" i="25"/>
  <c r="W15" i="25"/>
  <c r="W16" i="25"/>
  <c r="W11" i="25"/>
  <c r="AB18" i="25" l="1"/>
  <c r="C5" i="14" l="1"/>
  <c r="C4" i="25"/>
  <c r="C3" i="25"/>
  <c r="I6" i="25" l="1" a="1"/>
  <c r="L6" i="25" s="1"/>
  <c r="V4" i="25"/>
  <c r="I4" i="25" a="1"/>
  <c r="L4" i="25" s="1"/>
  <c r="V3" i="25"/>
  <c r="I4" i="25" l="1"/>
  <c r="M4" i="25"/>
  <c r="J4" i="25"/>
  <c r="N4" i="25"/>
  <c r="I6" i="25"/>
  <c r="M6" i="25"/>
  <c r="K4" i="25"/>
  <c r="J6" i="25"/>
  <c r="N6" i="25"/>
  <c r="K6" i="25"/>
  <c r="C4" i="17" l="1"/>
  <c r="C3" i="17"/>
  <c r="C5" i="17"/>
  <c r="C2" i="17"/>
  <c r="AD26" i="17"/>
  <c r="X26" i="17"/>
  <c r="AD25" i="17"/>
  <c r="X25" i="17"/>
  <c r="AD24" i="17"/>
  <c r="X24" i="17"/>
  <c r="AD23" i="17"/>
  <c r="X23" i="17"/>
  <c r="AD22" i="17"/>
  <c r="X22" i="17"/>
  <c r="AD21" i="17"/>
  <c r="X21" i="17"/>
  <c r="I6" i="17" a="1"/>
  <c r="L6" i="17" s="1"/>
  <c r="V4" i="17"/>
  <c r="I4" i="17" a="1"/>
  <c r="K4" i="17" s="1"/>
  <c r="V3" i="17"/>
  <c r="I2" i="17" a="1"/>
  <c r="N2" i="17" s="1"/>
  <c r="L2" i="17" l="1"/>
  <c r="J4" i="17"/>
  <c r="N4" i="17"/>
  <c r="I6" i="17"/>
  <c r="M6" i="17"/>
  <c r="L4" i="17"/>
  <c r="K6" i="17"/>
  <c r="K2" i="17"/>
  <c r="I4" i="17"/>
  <c r="M4" i="17"/>
  <c r="I2" i="17"/>
  <c r="M2" i="17"/>
  <c r="J6" i="17"/>
  <c r="N6" i="17"/>
  <c r="J2" i="17"/>
  <c r="V16" i="17" l="1"/>
  <c r="Z16" i="17" l="1"/>
  <c r="AA16" i="17" s="1"/>
  <c r="AB16" i="17" s="1"/>
  <c r="AF26" i="17" s="1"/>
  <c r="W16" i="17"/>
  <c r="X16" i="17" s="1"/>
  <c r="Y16" i="17" s="1"/>
  <c r="Z26" i="17" s="1"/>
  <c r="V13" i="17"/>
  <c r="V11" i="17"/>
  <c r="V15" i="17" l="1"/>
  <c r="V14" i="17"/>
  <c r="W13" i="17"/>
  <c r="X13" i="17" s="1"/>
  <c r="Y13" i="17" s="1"/>
  <c r="Z23" i="17" s="1"/>
  <c r="Z13" i="17"/>
  <c r="AA13" i="17" s="1"/>
  <c r="AB13" i="17" s="1"/>
  <c r="AF23" i="17" s="1"/>
  <c r="V12" i="17"/>
  <c r="AD26" i="14"/>
  <c r="AD25" i="14"/>
  <c r="AD24" i="14"/>
  <c r="AD23" i="14"/>
  <c r="AD22" i="14"/>
  <c r="AD21" i="14"/>
  <c r="X22" i="14"/>
  <c r="X23" i="14"/>
  <c r="X24" i="14"/>
  <c r="X25" i="14"/>
  <c r="X26" i="14"/>
  <c r="X21" i="14"/>
  <c r="D3" i="2"/>
  <c r="D4" i="2"/>
  <c r="D5" i="2"/>
  <c r="D6" i="2"/>
  <c r="D7" i="2"/>
  <c r="D8" i="2"/>
  <c r="D9" i="2"/>
  <c r="D10" i="2"/>
  <c r="D11" i="2"/>
  <c r="D12" i="2"/>
  <c r="D13" i="2"/>
  <c r="D14" i="2"/>
  <c r="W15" i="17" l="1"/>
  <c r="X15" i="17" s="1"/>
  <c r="Y15" i="17" s="1"/>
  <c r="Z25" i="17" s="1"/>
  <c r="Z15" i="17"/>
  <c r="AA15" i="17" s="1"/>
  <c r="AB15" i="17" s="1"/>
  <c r="AF25" i="17" s="1"/>
  <c r="W12" i="17"/>
  <c r="X12" i="17" s="1"/>
  <c r="Y12" i="17" s="1"/>
  <c r="Z22" i="17" s="1"/>
  <c r="Z12" i="17"/>
  <c r="AA12" i="17" s="1"/>
  <c r="AB12" i="17" s="1"/>
  <c r="AF22" i="17" s="1"/>
  <c r="W14" i="17"/>
  <c r="X14" i="17" s="1"/>
  <c r="Y14" i="17" s="1"/>
  <c r="Z24" i="17" s="1"/>
  <c r="Z14" i="17"/>
  <c r="AA14" i="17" s="1"/>
  <c r="AB14" i="17" s="1"/>
  <c r="AF24" i="17" s="1"/>
  <c r="W11" i="17"/>
  <c r="X11" i="17" s="1"/>
  <c r="Y11" i="17" s="1"/>
  <c r="Z21" i="17" s="1"/>
  <c r="Z11" i="17"/>
  <c r="AA11" i="17" s="1"/>
  <c r="AB11" i="17" s="1"/>
  <c r="AF21" i="17" s="1"/>
  <c r="V4" i="14" l="1"/>
  <c r="V3" i="14"/>
  <c r="I6" i="14" a="1"/>
  <c r="I6" i="14" s="1"/>
  <c r="I4" i="14" a="1"/>
  <c r="I4" i="14" s="1"/>
  <c r="I2" i="14" a="1"/>
  <c r="I2" i="14" s="1"/>
  <c r="C3" i="14"/>
  <c r="C4" i="14"/>
  <c r="N6" i="14" l="1"/>
  <c r="L6" i="14"/>
  <c r="K6" i="14"/>
  <c r="J6" i="14"/>
  <c r="M6" i="14"/>
  <c r="L4" i="14"/>
  <c r="J4" i="14"/>
  <c r="N4" i="14"/>
  <c r="M4" i="14"/>
  <c r="K4" i="14"/>
  <c r="M2" i="14"/>
  <c r="K2" i="14"/>
  <c r="L2" i="14"/>
  <c r="J2" i="14"/>
  <c r="N2" i="14"/>
  <c r="F16" i="2" l="1" a="1"/>
  <c r="F16" i="2" s="1"/>
  <c r="F2" i="2" a="1"/>
  <c r="F2" i="2" s="1"/>
  <c r="J16" i="2" l="1"/>
  <c r="I16" i="2"/>
  <c r="H16" i="2"/>
  <c r="G16" i="2"/>
  <c r="J2" i="2"/>
  <c r="I2" i="2"/>
  <c r="H2" i="2"/>
  <c r="G2" i="2"/>
  <c r="V16" i="14" l="1"/>
  <c r="Z16" i="14" s="1"/>
  <c r="V15" i="14"/>
  <c r="Z15" i="14" s="1"/>
  <c r="V14" i="14"/>
  <c r="Z14" i="14" s="1"/>
  <c r="V13" i="14"/>
  <c r="Z13" i="14" s="1"/>
  <c r="V12" i="14"/>
  <c r="Z12" i="14" s="1"/>
  <c r="V11" i="14"/>
  <c r="Z11" i="14" s="1"/>
  <c r="Z16" i="25" l="1"/>
  <c r="AA16" i="25" s="1"/>
  <c r="AB16" i="25" s="1"/>
  <c r="X16" i="25"/>
  <c r="Y16" i="25" s="1"/>
  <c r="X15" i="25"/>
  <c r="Y15" i="25" s="1"/>
  <c r="Z15" i="25"/>
  <c r="AA15" i="25" s="1"/>
  <c r="AB15" i="25" s="1"/>
  <c r="AF25" i="25" s="1"/>
  <c r="Z14" i="25"/>
  <c r="AA14" i="25" s="1"/>
  <c r="AB14" i="25" s="1"/>
  <c r="AF24" i="25" s="1"/>
  <c r="X14" i="25"/>
  <c r="Y14" i="25" s="1"/>
  <c r="X13" i="25"/>
  <c r="Y13" i="25" s="1"/>
  <c r="Z23" i="25" s="1"/>
  <c r="Z13" i="25"/>
  <c r="AA13" i="25" s="1"/>
  <c r="AB13" i="25" s="1"/>
  <c r="AF23" i="25" s="1"/>
  <c r="Z12" i="25"/>
  <c r="AA12" i="25" s="1"/>
  <c r="AB12" i="25" s="1"/>
  <c r="AF22" i="25" s="1"/>
  <c r="X12" i="25"/>
  <c r="Y12" i="25" s="1"/>
  <c r="X11" i="25"/>
  <c r="Y11" i="25" s="1"/>
  <c r="Z11" i="25"/>
  <c r="AA11" i="25" s="1"/>
  <c r="AB11" i="25" s="1"/>
  <c r="AF21" i="25" s="1"/>
  <c r="AA13" i="14"/>
  <c r="W13" i="14"/>
  <c r="X13" i="14" s="1"/>
  <c r="Y13" i="14" s="1"/>
  <c r="Z23" i="14" s="1"/>
  <c r="AA12" i="14"/>
  <c r="W12" i="14"/>
  <c r="X12" i="14" s="1"/>
  <c r="Y12" i="14" s="1"/>
  <c r="Z22" i="14" s="1"/>
  <c r="W11" i="14"/>
  <c r="X11" i="14" s="1"/>
  <c r="Y11" i="14" s="1"/>
  <c r="Z21" i="14" s="1"/>
  <c r="AA11" i="14"/>
  <c r="AA14" i="14"/>
  <c r="W14" i="14"/>
  <c r="X14" i="14" s="1"/>
  <c r="Y14" i="14" s="1"/>
  <c r="Z24" i="14" s="1"/>
  <c r="AA16" i="14"/>
  <c r="W16" i="14"/>
  <c r="X16" i="14" s="1"/>
  <c r="Y16" i="14" s="1"/>
  <c r="Z26" i="14" s="1"/>
  <c r="AA15" i="14"/>
  <c r="W15" i="14"/>
  <c r="X15" i="14" s="1"/>
  <c r="Y15" i="14" s="1"/>
  <c r="Z25" i="14" s="1"/>
  <c r="W17" i="2"/>
  <c r="AB13" i="14" l="1"/>
  <c r="AF23" i="14" s="1"/>
  <c r="AB12" i="14"/>
  <c r="AF22" i="14" s="1"/>
  <c r="AB11" i="14"/>
  <c r="AF21" i="14" s="1"/>
  <c r="AB14" i="14"/>
  <c r="AF24" i="14" s="1"/>
  <c r="AB16" i="14"/>
  <c r="AF26" i="14" s="1"/>
  <c r="AB15" i="14"/>
  <c r="AF25" i="14" s="1"/>
  <c r="W5" i="2"/>
  <c r="W6" i="2" s="1"/>
</calcChain>
</file>

<file path=xl/comments1.xml><?xml version="1.0" encoding="utf-8"?>
<comments xmlns="http://schemas.openxmlformats.org/spreadsheetml/2006/main">
  <authors>
    <author>Diego Montero</author>
  </authors>
  <commentList>
    <comment ref="Q3" authorId="0" shapeId="0">
      <text>
        <r>
          <rPr>
            <b/>
            <sz val="9"/>
            <color indexed="81"/>
            <rFont val="Segoe UI"/>
            <family val="2"/>
          </rPr>
          <t>CP = (2*PI^4/8)*Pc</t>
        </r>
      </text>
    </comment>
    <comment ref="R3" authorId="0" shapeId="0">
      <text>
        <r>
          <rPr>
            <b/>
            <sz val="9"/>
            <color indexed="81"/>
            <rFont val="Segoe UI"/>
            <family val="2"/>
          </rPr>
          <t>CT = (PI^3)/4 * Tc</t>
        </r>
      </text>
    </comment>
    <comment ref="S3" authorId="0" shapeId="0">
      <text>
        <r>
          <rPr>
            <b/>
            <sz val="9"/>
            <color indexed="81"/>
            <rFont val="Segoe UI"/>
            <family val="2"/>
          </rPr>
          <t>P = CP*dens*rps^2*D^5</t>
        </r>
      </text>
    </comment>
    <comment ref="T3" authorId="0" shapeId="0">
      <text>
        <r>
          <rPr>
            <b/>
            <sz val="9"/>
            <color indexed="81"/>
            <rFont val="Segoe UI"/>
            <family val="2"/>
          </rPr>
          <t>T = CT*dens*rps^2*D^4</t>
        </r>
      </text>
    </comment>
    <comment ref="U3" authorId="0" shapeId="0">
      <text>
        <r>
          <rPr>
            <b/>
            <sz val="9"/>
            <color indexed="81"/>
            <rFont val="Segoe UI"/>
            <family val="2"/>
          </rPr>
          <t>Cq = Cp/2pi
Q = Cq*dens*rps^2*D^5</t>
        </r>
      </text>
    </comment>
  </commentList>
</comments>
</file>

<file path=xl/comments2.xml><?xml version="1.0" encoding="utf-8"?>
<comments xmlns="http://schemas.openxmlformats.org/spreadsheetml/2006/main">
  <authors>
    <author>Diego Montero</author>
  </authors>
  <commentList>
    <comment ref="Y21" authorId="0" shapeId="0">
      <text>
        <r>
          <rPr>
            <b/>
            <sz val="9"/>
            <color indexed="81"/>
            <rFont val="Segoe UI"/>
            <family val="2"/>
          </rPr>
          <t>Not converged</t>
        </r>
      </text>
    </comment>
  </commentList>
</comments>
</file>

<file path=xl/comments3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4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5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6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7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8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9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10.xml><?xml version="1.0" encoding="utf-8"?>
<comments xmlns="http://schemas.openxmlformats.org/spreadsheetml/2006/main">
  <authors>
    <author>Diego Montero</author>
  </authors>
  <commentList>
    <comment ref="Y21" authorId="0" shapeId="0">
      <text>
        <r>
          <rPr>
            <b/>
            <sz val="9"/>
            <color indexed="81"/>
            <rFont val="Segoe UI"/>
            <family val="2"/>
          </rPr>
          <t>Not converged</t>
        </r>
      </text>
    </comment>
  </commentList>
</comments>
</file>

<file path=xl/sharedStrings.xml><?xml version="1.0" encoding="utf-8"?>
<sst xmlns="http://schemas.openxmlformats.org/spreadsheetml/2006/main" count="762" uniqueCount="148">
  <si>
    <t>adv</t>
  </si>
  <si>
    <t>http://users.frii.com/katana/biketext.html</t>
  </si>
  <si>
    <t>Nm</t>
  </si>
  <si>
    <t>ft-lb</t>
  </si>
  <si>
    <t>Original source:</t>
  </si>
  <si>
    <t>Torque</t>
  </si>
  <si>
    <t>RPM</t>
  </si>
  <si>
    <t>a</t>
  </si>
  <si>
    <t>b</t>
  </si>
  <si>
    <t>c</t>
  </si>
  <si>
    <t>d</t>
  </si>
  <si>
    <t>Power</t>
  </si>
  <si>
    <t>hp</t>
  </si>
  <si>
    <t>W</t>
  </si>
  <si>
    <t>e</t>
  </si>
  <si>
    <t>effprop</t>
  </si>
  <si>
    <t>f</t>
  </si>
  <si>
    <t>RpmCrank</t>
  </si>
  <si>
    <t>Adv.Ratio</t>
  </si>
  <si>
    <t>Prop.Eff.</t>
  </si>
  <si>
    <t>Vn [mps]</t>
  </si>
  <si>
    <t>prop_dia</t>
  </si>
  <si>
    <t>Propeller</t>
  </si>
  <si>
    <t>Propeller data</t>
  </si>
  <si>
    <t>max eff</t>
  </si>
  <si>
    <t>diameter</t>
  </si>
  <si>
    <t>max. Eff</t>
  </si>
  <si>
    <t>Engine</t>
  </si>
  <si>
    <t>Input data</t>
  </si>
  <si>
    <t>Engine data</t>
  </si>
  <si>
    <t>Cadence Assumption</t>
  </si>
  <si>
    <t>Front Gear</t>
  </si>
  <si>
    <t>Rear Gear</t>
  </si>
  <si>
    <t>Drive Eff</t>
  </si>
  <si>
    <t>opt adv</t>
  </si>
  <si>
    <t>P @85rpm</t>
  </si>
  <si>
    <t>RPM Prop</t>
  </si>
  <si>
    <t>Gear Ratio</t>
  </si>
  <si>
    <t>poly</t>
  </si>
  <si>
    <t>max adv</t>
  </si>
  <si>
    <t>max Adv</t>
  </si>
  <si>
    <t>opt. Adv</t>
  </si>
  <si>
    <t>P.Crank [W]</t>
  </si>
  <si>
    <t>Prop.CP</t>
  </si>
  <si>
    <t>P.Prop [W]</t>
  </si>
  <si>
    <t>Prop. CT</t>
  </si>
  <si>
    <t>T.Prop [N]</t>
  </si>
  <si>
    <t>W.Dens</t>
  </si>
  <si>
    <t>Q.Crank [Nm]</t>
  </si>
  <si>
    <t>CP (Pc)</t>
  </si>
  <si>
    <t>CT (Tc)</t>
  </si>
  <si>
    <t>Pc</t>
  </si>
  <si>
    <t>Tc</t>
  </si>
  <si>
    <t>torque.rpm</t>
  </si>
  <si>
    <t>poly 4o</t>
  </si>
  <si>
    <t>power.rpm</t>
  </si>
  <si>
    <t>Prop. Motion</t>
  </si>
  <si>
    <t>Prop. Caracteristics</t>
  </si>
  <si>
    <t>Propeller Output</t>
  </si>
  <si>
    <t>wProp [rad/s]</t>
  </si>
  <si>
    <t>eff</t>
  </si>
  <si>
    <t>hEng</t>
  </si>
  <si>
    <t>radius</t>
  </si>
  <si>
    <t>beta</t>
  </si>
  <si>
    <t>Re</t>
  </si>
  <si>
    <t xml:space="preserve">Re  </t>
  </si>
  <si>
    <t xml:space="preserve">Re </t>
  </si>
  <si>
    <t>Cavitation check</t>
  </si>
  <si>
    <t>http://www.mh-aerotools.de/airfoils/hydrofoils.htm</t>
  </si>
  <si>
    <t>pvapor (Pa)</t>
  </si>
  <si>
    <t>h (m)</t>
  </si>
  <si>
    <t>g (m/s2)</t>
  </si>
  <si>
    <t>dens (kg/m3)</t>
  </si>
  <si>
    <t>pinf (Pa)</t>
  </si>
  <si>
    <t>Temp (°C)</t>
  </si>
  <si>
    <t>Cp</t>
  </si>
  <si>
    <t>Cp crit</t>
  </si>
  <si>
    <t>vboat</t>
  </si>
  <si>
    <t>omeg (rad/s)</t>
  </si>
  <si>
    <t>vtip</t>
  </si>
  <si>
    <t>w tip</t>
  </si>
  <si>
    <t>tip data</t>
  </si>
  <si>
    <t>alfa</t>
  </si>
  <si>
    <t>beta °</t>
  </si>
  <si>
    <t>chord (m)</t>
  </si>
  <si>
    <t>radius (m)</t>
  </si>
  <si>
    <t>v0,69375r</t>
  </si>
  <si>
    <t>w0,69375r</t>
  </si>
  <si>
    <t>0,69375r</t>
  </si>
  <si>
    <t>Q.Prop [Nm]</t>
  </si>
  <si>
    <t>Needed Effort</t>
  </si>
  <si>
    <t>Prop Output</t>
  </si>
  <si>
    <t>Thrust [N]</t>
  </si>
  <si>
    <t>Keel-Chain</t>
  </si>
  <si>
    <t>Torque [Nm]</t>
  </si>
  <si>
    <t>Cl</t>
  </si>
  <si>
    <t>Cl=Cla*alfa + Cl0</t>
  </si>
  <si>
    <t>alfa = (Cl-Cl0)/Cla</t>
  </si>
  <si>
    <t>Cla</t>
  </si>
  <si>
    <t>Cl0</t>
  </si>
  <si>
    <t>Fsc</t>
  </si>
  <si>
    <t>Propeller Data:</t>
  </si>
  <si>
    <t>Summary of results:</t>
  </si>
  <si>
    <t>Prop Data: Loop1 Be50 prop</t>
  </si>
  <si>
    <t>Geometrical Data</t>
  </si>
  <si>
    <t>CT</t>
  </si>
  <si>
    <t xml:space="preserve">CP  </t>
  </si>
  <si>
    <t>OK</t>
  </si>
  <si>
    <t>Prop Data: Loop1 Be50_mod prop</t>
  </si>
  <si>
    <t>r</t>
  </si>
  <si>
    <t>radius (mm)</t>
  </si>
  <si>
    <t>chord (mm)</t>
  </si>
  <si>
    <t>*ATUALIZAR PARA AS ROTAÇÕES CORRETAS!</t>
  </si>
  <si>
    <t>rpm</t>
  </si>
  <si>
    <t>Prop Data: Be50_200mm</t>
  </si>
  <si>
    <t>Para 340, situação crítica é a 4m/s com 486RPM e 120N de empuxo</t>
  </si>
  <si>
    <t>chord</t>
  </si>
  <si>
    <t>Cd</t>
  </si>
  <si>
    <t>Carregamento será proporcional a V^2 * CL * Corda na seção na direção de empuxo e identico mas com CD na direção de arrasto</t>
  </si>
  <si>
    <t>Vlocal</t>
  </si>
  <si>
    <t>rad/s</t>
  </si>
  <si>
    <t>mps</t>
  </si>
  <si>
    <t>N</t>
  </si>
  <si>
    <t>props</t>
  </si>
  <si>
    <t>Arrast</t>
  </si>
  <si>
    <t>soma cd*c</t>
  </si>
  <si>
    <t>soma cl*c</t>
  </si>
  <si>
    <t>razao cd/cl</t>
  </si>
  <si>
    <t>COEFS</t>
  </si>
  <si>
    <t>Raio (mm)</t>
  </si>
  <si>
    <t>Raio (m)</t>
  </si>
  <si>
    <t>GEARS</t>
  </si>
  <si>
    <t>gears</t>
  </si>
  <si>
    <t>250W</t>
  </si>
  <si>
    <t>325W</t>
  </si>
  <si>
    <t>650W</t>
  </si>
  <si>
    <t>Target Power</t>
  </si>
  <si>
    <t>INTEG</t>
  </si>
  <si>
    <t>Frac</t>
  </si>
  <si>
    <t>Load</t>
  </si>
  <si>
    <t>Mult</t>
  </si>
  <si>
    <t>Vrad</t>
  </si>
  <si>
    <t>massa kg</t>
  </si>
  <si>
    <t>Centrip</t>
  </si>
  <si>
    <t>Fração CL</t>
  </si>
  <si>
    <t>CD</t>
  </si>
  <si>
    <t>340m</t>
  </si>
  <si>
    <t>(CTRL+SHIFT+P)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</si>
</sst>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000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0">
    <xf numFmtId="0" fontId="0" fillId="0" borderId="0" xfId="0"/>
    <xf numFmtId="166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/>
    <xf numFmtId="0" fontId="0" fillId="3" borderId="4" xfId="0" applyFill="1" applyBorder="1"/>
    <xf numFmtId="0" fontId="0" fillId="2" borderId="3" xfId="0" applyFill="1" applyBorder="1" applyAlignment="1">
      <alignment horizontal="center" vertical="center"/>
    </xf>
    <xf numFmtId="1" fontId="0" fillId="2" borderId="3" xfId="0" applyNumberFormat="1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165" fontId="0" fillId="3" borderId="15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165" fontId="0" fillId="3" borderId="16" xfId="0" applyNumberFormat="1" applyFill="1" applyBorder="1" applyAlignment="1">
      <alignment horizontal="center"/>
    </xf>
    <xf numFmtId="2" fontId="0" fillId="3" borderId="12" xfId="0" applyNumberFormat="1" applyFill="1" applyBorder="1" applyAlignment="1">
      <alignment horizontal="center"/>
    </xf>
    <xf numFmtId="165" fontId="0" fillId="3" borderId="17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0" fontId="0" fillId="3" borderId="0" xfId="0" applyFill="1" applyAlignment="1">
      <alignment horizontal="right"/>
    </xf>
    <xf numFmtId="2" fontId="0" fillId="3" borderId="17" xfId="0" applyNumberFormat="1" applyFill="1" applyBorder="1" applyAlignment="1">
      <alignment horizontal="center"/>
    </xf>
    <xf numFmtId="0" fontId="0" fillId="3" borderId="18" xfId="0" applyFill="1" applyBorder="1"/>
    <xf numFmtId="2" fontId="0" fillId="3" borderId="5" xfId="0" applyNumberFormat="1" applyFill="1" applyBorder="1" applyAlignment="1">
      <alignment horizontal="center" vertical="center"/>
    </xf>
    <xf numFmtId="0" fontId="2" fillId="0" borderId="0" xfId="1"/>
    <xf numFmtId="2" fontId="0" fillId="0" borderId="0" xfId="0" applyNumberFormat="1"/>
    <xf numFmtId="2" fontId="0" fillId="3" borderId="16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10" xfId="0" applyNumberFormat="1" applyFill="1" applyBorder="1" applyAlignment="1">
      <alignment horizontal="center"/>
    </xf>
    <xf numFmtId="165" fontId="0" fillId="3" borderId="11" xfId="0" applyNumberFormat="1" applyFill="1" applyBorder="1" applyAlignment="1">
      <alignment horizontal="center"/>
    </xf>
    <xf numFmtId="165" fontId="0" fillId="3" borderId="12" xfId="0" applyNumberFormat="1" applyFill="1" applyBorder="1" applyAlignment="1">
      <alignment horizontal="center"/>
    </xf>
    <xf numFmtId="165" fontId="0" fillId="3" borderId="13" xfId="0" applyNumberForma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2" fontId="0" fillId="3" borderId="21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2" fontId="0" fillId="3" borderId="23" xfId="0" applyNumberForma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 vertical="center"/>
    </xf>
    <xf numFmtId="2" fontId="0" fillId="3" borderId="19" xfId="0" applyNumberFormat="1" applyFill="1" applyBorder="1" applyAlignment="1">
      <alignment horizontal="center" vertical="center"/>
    </xf>
    <xf numFmtId="165" fontId="0" fillId="3" borderId="5" xfId="0" applyNumberFormat="1" applyFill="1" applyBorder="1" applyAlignment="1">
      <alignment horizontal="center" vertical="center"/>
    </xf>
    <xf numFmtId="0" fontId="0" fillId="0" borderId="18" xfId="0" applyBorder="1"/>
    <xf numFmtId="0" fontId="0" fillId="0" borderId="26" xfId="0" applyBorder="1"/>
    <xf numFmtId="0" fontId="0" fillId="0" borderId="19" xfId="0" applyBorder="1"/>
    <xf numFmtId="0" fontId="0" fillId="0" borderId="2" xfId="0" applyBorder="1"/>
    <xf numFmtId="166" fontId="0" fillId="0" borderId="0" xfId="0" applyNumberFormat="1" applyBorder="1"/>
    <xf numFmtId="0" fontId="0" fillId="0" borderId="0" xfId="0" applyBorder="1"/>
    <xf numFmtId="0" fontId="0" fillId="0" borderId="3" xfId="0" applyBorder="1"/>
    <xf numFmtId="166" fontId="0" fillId="0" borderId="2" xfId="0" applyNumberFormat="1" applyBorder="1"/>
    <xf numFmtId="166" fontId="0" fillId="0" borderId="4" xfId="0" applyNumberFormat="1" applyBorder="1"/>
    <xf numFmtId="166" fontId="0" fillId="0" borderId="25" xfId="0" applyNumberFormat="1" applyBorder="1"/>
    <xf numFmtId="0" fontId="0" fillId="0" borderId="25" xfId="0" applyBorder="1"/>
    <xf numFmtId="0" fontId="0" fillId="0" borderId="5" xfId="0" applyBorder="1"/>
    <xf numFmtId="167" fontId="0" fillId="0" borderId="2" xfId="0" applyNumberFormat="1" applyBorder="1"/>
    <xf numFmtId="167" fontId="0" fillId="0" borderId="0" xfId="0" applyNumberFormat="1" applyBorder="1"/>
    <xf numFmtId="0" fontId="0" fillId="0" borderId="3" xfId="0" quotePrefix="1" applyBorder="1"/>
    <xf numFmtId="0" fontId="0" fillId="0" borderId="4" xfId="0" applyBorder="1"/>
    <xf numFmtId="4" fontId="0" fillId="0" borderId="0" xfId="0" applyNumberFormat="1" applyBorder="1"/>
    <xf numFmtId="2" fontId="0" fillId="0" borderId="0" xfId="0" applyNumberFormat="1" applyBorder="1"/>
    <xf numFmtId="165" fontId="0" fillId="0" borderId="0" xfId="0" applyNumberFormat="1" applyBorder="1"/>
    <xf numFmtId="0" fontId="0" fillId="0" borderId="0" xfId="0" quotePrefix="1" applyBorder="1"/>
    <xf numFmtId="2" fontId="0" fillId="0" borderId="0" xfId="0" applyNumberFormat="1" applyBorder="1" applyAlignment="1">
      <alignment horizontal="center"/>
    </xf>
    <xf numFmtId="0" fontId="0" fillId="0" borderId="0" xfId="0" applyFill="1" applyBorder="1"/>
    <xf numFmtId="0" fontId="4" fillId="0" borderId="0" xfId="0" applyFont="1" applyBorder="1"/>
    <xf numFmtId="11" fontId="0" fillId="0" borderId="0" xfId="0" applyNumberFormat="1"/>
    <xf numFmtId="2" fontId="0" fillId="0" borderId="2" xfId="0" applyNumberFormat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27" xfId="0" applyBorder="1"/>
    <xf numFmtId="0" fontId="0" fillId="0" borderId="21" xfId="0" applyBorder="1"/>
    <xf numFmtId="0" fontId="0" fillId="0" borderId="28" xfId="0" applyBorder="1"/>
    <xf numFmtId="0" fontId="5" fillId="0" borderId="0" xfId="0" applyFont="1"/>
    <xf numFmtId="0" fontId="0" fillId="0" borderId="0" xfId="0" applyFont="1" applyBorder="1"/>
    <xf numFmtId="0" fontId="6" fillId="0" borderId="0" xfId="0" applyFont="1" applyFill="1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3" borderId="6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25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tx>
            <c:v>Eff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nbe400fast!$B$8:$B$29</c:f>
              <c:numCache>
                <c:formatCode>0.0000</c:formatCode>
                <c:ptCount val="22"/>
                <c:pt idx="0">
                  <c:v>0</c:v>
                </c:pt>
                <c:pt idx="1">
                  <c:v>2.3269999999999999E-2</c:v>
                </c:pt>
                <c:pt idx="2">
                  <c:v>4.6539999999999998E-2</c:v>
                </c:pt>
                <c:pt idx="3">
                  <c:v>6.9809999999999997E-2</c:v>
                </c:pt>
                <c:pt idx="4">
                  <c:v>9.3079999999999996E-2</c:v>
                </c:pt>
                <c:pt idx="5">
                  <c:v>0.11635</c:v>
                </c:pt>
                <c:pt idx="6">
                  <c:v>0.13961999999999999</c:v>
                </c:pt>
                <c:pt idx="7">
                  <c:v>0.16289000000000001</c:v>
                </c:pt>
                <c:pt idx="8">
                  <c:v>0.18615999999999999</c:v>
                </c:pt>
                <c:pt idx="9">
                  <c:v>0.20942</c:v>
                </c:pt>
                <c:pt idx="10">
                  <c:v>0.23269000000000001</c:v>
                </c:pt>
                <c:pt idx="11">
                  <c:v>0.25596000000000002</c:v>
                </c:pt>
                <c:pt idx="12">
                  <c:v>0.27922999999999998</c:v>
                </c:pt>
                <c:pt idx="13">
                  <c:v>0.30249999999999999</c:v>
                </c:pt>
                <c:pt idx="14">
                  <c:v>0.32577</c:v>
                </c:pt>
                <c:pt idx="15">
                  <c:v>0.34904000000000002</c:v>
                </c:pt>
                <c:pt idx="16">
                  <c:v>0.37230999999999997</c:v>
                </c:pt>
                <c:pt idx="17">
                  <c:v>0.39557999999999999</c:v>
                </c:pt>
                <c:pt idx="18">
                  <c:v>0.41885</c:v>
                </c:pt>
                <c:pt idx="19">
                  <c:v>0.44212000000000001</c:v>
                </c:pt>
                <c:pt idx="20">
                  <c:v>0.46539000000000003</c:v>
                </c:pt>
                <c:pt idx="21">
                  <c:v>0.48865999999999998</c:v>
                </c:pt>
              </c:numCache>
            </c:numRef>
          </c:xVal>
          <c:yVal>
            <c:numRef>
              <c:f>nbe400fast!$C$8:$C$29</c:f>
              <c:numCache>
                <c:formatCode>0.0000</c:formatCode>
                <c:ptCount val="22"/>
                <c:pt idx="0">
                  <c:v>0</c:v>
                </c:pt>
                <c:pt idx="1">
                  <c:v>6.1600000000000002E-2</c:v>
                </c:pt>
                <c:pt idx="2">
                  <c:v>0.12640000000000001</c:v>
                </c:pt>
                <c:pt idx="3">
                  <c:v>0.1948</c:v>
                </c:pt>
                <c:pt idx="4">
                  <c:v>0.26650000000000001</c:v>
                </c:pt>
                <c:pt idx="5">
                  <c:v>0.34050000000000002</c:v>
                </c:pt>
                <c:pt idx="6">
                  <c:v>0.41539999999999999</c:v>
                </c:pt>
                <c:pt idx="7">
                  <c:v>0.48930000000000001</c:v>
                </c:pt>
                <c:pt idx="8">
                  <c:v>0.56040000000000001</c:v>
                </c:pt>
                <c:pt idx="9">
                  <c:v>0.62690000000000001</c:v>
                </c:pt>
                <c:pt idx="10">
                  <c:v>0.68730000000000002</c:v>
                </c:pt>
                <c:pt idx="11">
                  <c:v>0.74060000000000004</c:v>
                </c:pt>
                <c:pt idx="12">
                  <c:v>0.78639999999999999</c:v>
                </c:pt>
                <c:pt idx="13">
                  <c:v>0.82450000000000001</c:v>
                </c:pt>
                <c:pt idx="14">
                  <c:v>0.86260000000000003</c:v>
                </c:pt>
                <c:pt idx="15">
                  <c:v>0.90790000000000004</c:v>
                </c:pt>
                <c:pt idx="16">
                  <c:v>0.91769999999999996</c:v>
                </c:pt>
                <c:pt idx="17">
                  <c:v>0.92369999999999997</c:v>
                </c:pt>
                <c:pt idx="18">
                  <c:v>0.92459999999999998</c:v>
                </c:pt>
                <c:pt idx="19">
                  <c:v>0.91759999999999997</c:v>
                </c:pt>
                <c:pt idx="20">
                  <c:v>0.89280000000000004</c:v>
                </c:pt>
                <c:pt idx="21">
                  <c:v>0.82379999999999998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3962816"/>
        <c:axId val="-1573960096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nbe400fast!$B$8:$B$29</c:f>
              <c:numCache>
                <c:formatCode>0.0000</c:formatCode>
                <c:ptCount val="22"/>
                <c:pt idx="0">
                  <c:v>0</c:v>
                </c:pt>
                <c:pt idx="1">
                  <c:v>2.3269999999999999E-2</c:v>
                </c:pt>
                <c:pt idx="2">
                  <c:v>4.6539999999999998E-2</c:v>
                </c:pt>
                <c:pt idx="3">
                  <c:v>6.9809999999999997E-2</c:v>
                </c:pt>
                <c:pt idx="4">
                  <c:v>9.3079999999999996E-2</c:v>
                </c:pt>
                <c:pt idx="5">
                  <c:v>0.11635</c:v>
                </c:pt>
                <c:pt idx="6">
                  <c:v>0.13961999999999999</c:v>
                </c:pt>
                <c:pt idx="7">
                  <c:v>0.16289000000000001</c:v>
                </c:pt>
                <c:pt idx="8">
                  <c:v>0.18615999999999999</c:v>
                </c:pt>
                <c:pt idx="9">
                  <c:v>0.20942</c:v>
                </c:pt>
                <c:pt idx="10">
                  <c:v>0.23269000000000001</c:v>
                </c:pt>
                <c:pt idx="11">
                  <c:v>0.25596000000000002</c:v>
                </c:pt>
                <c:pt idx="12">
                  <c:v>0.27922999999999998</c:v>
                </c:pt>
                <c:pt idx="13">
                  <c:v>0.30249999999999999</c:v>
                </c:pt>
                <c:pt idx="14">
                  <c:v>0.32577</c:v>
                </c:pt>
                <c:pt idx="15">
                  <c:v>0.34904000000000002</c:v>
                </c:pt>
                <c:pt idx="16">
                  <c:v>0.37230999999999997</c:v>
                </c:pt>
                <c:pt idx="17">
                  <c:v>0.39557999999999999</c:v>
                </c:pt>
                <c:pt idx="18">
                  <c:v>0.41885</c:v>
                </c:pt>
                <c:pt idx="19">
                  <c:v>0.44212000000000001</c:v>
                </c:pt>
                <c:pt idx="20">
                  <c:v>0.46539000000000003</c:v>
                </c:pt>
                <c:pt idx="21">
                  <c:v>0.48865999999999998</c:v>
                </c:pt>
              </c:numCache>
            </c:numRef>
          </c:xVal>
          <c:yVal>
            <c:numRef>
              <c:f>nbe400fast!$E$8:$E$29</c:f>
              <c:numCache>
                <c:formatCode>0.0000</c:formatCode>
                <c:ptCount val="22"/>
                <c:pt idx="0">
                  <c:v>3.6020000000000002E-3</c:v>
                </c:pt>
                <c:pt idx="1">
                  <c:v>3.5360000000000001E-3</c:v>
                </c:pt>
                <c:pt idx="2">
                  <c:v>3.4719999999999998E-3</c:v>
                </c:pt>
                <c:pt idx="3">
                  <c:v>3.4190000000000002E-3</c:v>
                </c:pt>
                <c:pt idx="4">
                  <c:v>3.385E-3</c:v>
                </c:pt>
                <c:pt idx="5">
                  <c:v>3.375E-3</c:v>
                </c:pt>
                <c:pt idx="6">
                  <c:v>3.3930000000000002E-3</c:v>
                </c:pt>
                <c:pt idx="7">
                  <c:v>3.4429999999999999E-3</c:v>
                </c:pt>
                <c:pt idx="8">
                  <c:v>3.5239999999999998E-3</c:v>
                </c:pt>
                <c:pt idx="9">
                  <c:v>3.6380000000000002E-3</c:v>
                </c:pt>
                <c:pt idx="10">
                  <c:v>3.7859999999999999E-3</c:v>
                </c:pt>
                <c:pt idx="11">
                  <c:v>3.9680000000000002E-3</c:v>
                </c:pt>
                <c:pt idx="12">
                  <c:v>4.1830000000000001E-3</c:v>
                </c:pt>
                <c:pt idx="13">
                  <c:v>4.4299999999999999E-3</c:v>
                </c:pt>
                <c:pt idx="14">
                  <c:v>4.6680000000000003E-3</c:v>
                </c:pt>
                <c:pt idx="15">
                  <c:v>4.4339999999999996E-3</c:v>
                </c:pt>
                <c:pt idx="16">
                  <c:v>4.084E-3</c:v>
                </c:pt>
                <c:pt idx="17">
                  <c:v>3.676E-3</c:v>
                </c:pt>
                <c:pt idx="18">
                  <c:v>3.209E-3</c:v>
                </c:pt>
                <c:pt idx="19">
                  <c:v>2.6819999999999999E-3</c:v>
                </c:pt>
                <c:pt idx="20">
                  <c:v>2.098E-3</c:v>
                </c:pt>
                <c:pt idx="21">
                  <c:v>1.456E-3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nbe400fast!$B$8:$B$29</c:f>
              <c:numCache>
                <c:formatCode>0.0000</c:formatCode>
                <c:ptCount val="22"/>
                <c:pt idx="0">
                  <c:v>0</c:v>
                </c:pt>
                <c:pt idx="1">
                  <c:v>2.3269999999999999E-2</c:v>
                </c:pt>
                <c:pt idx="2">
                  <c:v>4.6539999999999998E-2</c:v>
                </c:pt>
                <c:pt idx="3">
                  <c:v>6.9809999999999997E-2</c:v>
                </c:pt>
                <c:pt idx="4">
                  <c:v>9.3079999999999996E-2</c:v>
                </c:pt>
                <c:pt idx="5">
                  <c:v>0.11635</c:v>
                </c:pt>
                <c:pt idx="6">
                  <c:v>0.13961999999999999</c:v>
                </c:pt>
                <c:pt idx="7">
                  <c:v>0.16289000000000001</c:v>
                </c:pt>
                <c:pt idx="8">
                  <c:v>0.18615999999999999</c:v>
                </c:pt>
                <c:pt idx="9">
                  <c:v>0.20942</c:v>
                </c:pt>
                <c:pt idx="10">
                  <c:v>0.23269000000000001</c:v>
                </c:pt>
                <c:pt idx="11">
                  <c:v>0.25596000000000002</c:v>
                </c:pt>
                <c:pt idx="12">
                  <c:v>0.27922999999999998</c:v>
                </c:pt>
                <c:pt idx="13">
                  <c:v>0.30249999999999999</c:v>
                </c:pt>
                <c:pt idx="14">
                  <c:v>0.32577</c:v>
                </c:pt>
                <c:pt idx="15">
                  <c:v>0.34904000000000002</c:v>
                </c:pt>
                <c:pt idx="16">
                  <c:v>0.37230999999999997</c:v>
                </c:pt>
                <c:pt idx="17">
                  <c:v>0.39557999999999999</c:v>
                </c:pt>
                <c:pt idx="18">
                  <c:v>0.41885</c:v>
                </c:pt>
                <c:pt idx="19">
                  <c:v>0.44212000000000001</c:v>
                </c:pt>
                <c:pt idx="20">
                  <c:v>0.46539000000000003</c:v>
                </c:pt>
                <c:pt idx="21">
                  <c:v>0.48865999999999998</c:v>
                </c:pt>
              </c:numCache>
            </c:numRef>
          </c:xVal>
          <c:yVal>
            <c:numRef>
              <c:f>nbe400fast!$D$8:$D$29</c:f>
              <c:numCache>
                <c:formatCode>0.0000</c:formatCode>
                <c:ptCount val="22"/>
                <c:pt idx="0">
                  <c:v>9.3139999999999994E-3</c:v>
                </c:pt>
                <c:pt idx="1">
                  <c:v>9.3559999999999997E-3</c:v>
                </c:pt>
                <c:pt idx="2">
                  <c:v>9.4289999999999999E-3</c:v>
                </c:pt>
                <c:pt idx="3">
                  <c:v>9.5399999999999999E-3</c:v>
                </c:pt>
                <c:pt idx="4">
                  <c:v>9.6900000000000007E-3</c:v>
                </c:pt>
                <c:pt idx="5">
                  <c:v>9.8770000000000004E-3</c:v>
                </c:pt>
                <c:pt idx="6">
                  <c:v>1.01E-2</c:v>
                </c:pt>
                <c:pt idx="7">
                  <c:v>1.034E-2</c:v>
                </c:pt>
                <c:pt idx="8">
                  <c:v>1.061E-2</c:v>
                </c:pt>
                <c:pt idx="9">
                  <c:v>1.089E-2</c:v>
                </c:pt>
                <c:pt idx="10">
                  <c:v>1.1180000000000001E-2</c:v>
                </c:pt>
                <c:pt idx="11">
                  <c:v>1.1480000000000001E-2</c:v>
                </c:pt>
                <c:pt idx="12">
                  <c:v>1.1780000000000001E-2</c:v>
                </c:pt>
                <c:pt idx="13">
                  <c:v>1.2070000000000001E-2</c:v>
                </c:pt>
                <c:pt idx="14">
                  <c:v>1.2359999999999999E-2</c:v>
                </c:pt>
                <c:pt idx="15">
                  <c:v>1.153E-2</c:v>
                </c:pt>
                <c:pt idx="16">
                  <c:v>1.0070000000000001E-2</c:v>
                </c:pt>
                <c:pt idx="17">
                  <c:v>8.5839999999999996E-3</c:v>
                </c:pt>
                <c:pt idx="18">
                  <c:v>7.0850000000000002E-3</c:v>
                </c:pt>
                <c:pt idx="19">
                  <c:v>5.5669999999999999E-3</c:v>
                </c:pt>
                <c:pt idx="20">
                  <c:v>4.0239999999999998E-3</c:v>
                </c:pt>
                <c:pt idx="21">
                  <c:v>2.454E-3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3966624"/>
        <c:axId val="-1573956288"/>
      </c:scatterChart>
      <c:valAx>
        <c:axId val="-157396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60096"/>
        <c:crosses val="autoZero"/>
        <c:crossBetween val="midCat"/>
      </c:valAx>
      <c:valAx>
        <c:axId val="-15739600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62816"/>
        <c:crosses val="autoZero"/>
        <c:crossBetween val="midCat"/>
      </c:valAx>
      <c:valAx>
        <c:axId val="-1573956288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66624"/>
        <c:crosses val="max"/>
        <c:crossBetween val="midCat"/>
      </c:valAx>
      <c:valAx>
        <c:axId val="-1573966624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-157395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nbe400fast!$U$11:$U$16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nbe400fast!$Y$11:$Y$16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nbe400fast!$U$11:$U$16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nbe400fast!$AB$11:$AB$16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nbe400fast!$U$21:$U$26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nbe400fast!$Y$21:$Y$26</c:f>
              <c:numCache>
                <c:formatCode>General</c:formatCode>
                <c:ptCount val="6"/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nbe400fast!$U$21:$U$26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nbe400fast!$AE$21:$AE$26</c:f>
              <c:numCache>
                <c:formatCode>General</c:formatCode>
                <c:ptCount val="6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-1.5</c:v>
                </c:pt>
                <c:pt idx="4">
                  <c:v>-0.9</c:v>
                </c:pt>
                <c:pt idx="5">
                  <c:v>-0.7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3960640"/>
        <c:axId val="-1573957920"/>
      </c:scatterChart>
      <c:valAx>
        <c:axId val="-15739606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57920"/>
        <c:crosses val="autoZero"/>
        <c:crossBetween val="midCat"/>
      </c:valAx>
      <c:valAx>
        <c:axId val="-15739579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6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nbe400fast!$Q$3:$Q$15</c:f>
              <c:numCache>
                <c:formatCode>0.00000</c:formatCode>
                <c:ptCount val="13"/>
                <c:pt idx="0">
                  <c:v>6.7920000000000003E-3</c:v>
                </c:pt>
                <c:pt idx="1">
                  <c:v>9.9456000000000006E-3</c:v>
                </c:pt>
                <c:pt idx="2">
                  <c:v>1.197E-2</c:v>
                </c:pt>
                <c:pt idx="3">
                  <c:v>1.2891E-2</c:v>
                </c:pt>
                <c:pt idx="4">
                  <c:v>1.2952E-2</c:v>
                </c:pt>
                <c:pt idx="5">
                  <c:v>1.2426E-2</c:v>
                </c:pt>
                <c:pt idx="6">
                  <c:v>1.1523E-2</c:v>
                </c:pt>
                <c:pt idx="7">
                  <c:v>1.0374E-2</c:v>
                </c:pt>
                <c:pt idx="8">
                  <c:v>9.0396999999999995E-3</c:v>
                </c:pt>
                <c:pt idx="9">
                  <c:v>7.5189999999999996E-3</c:v>
                </c:pt>
                <c:pt idx="10">
                  <c:v>5.7210999999999998E-3</c:v>
                </c:pt>
                <c:pt idx="11">
                  <c:v>3.2423E-3</c:v>
                </c:pt>
                <c:pt idx="12" formatCode="General">
                  <c:v>1.7477E-3</c:v>
                </c:pt>
              </c:numCache>
            </c:numRef>
          </c:xVal>
          <c:yVal>
            <c:numRef>
              <c:f>nbe400fast!$P$3:$P$15</c:f>
              <c:numCache>
                <c:formatCode>0.00000</c:formatCode>
                <c:ptCount val="13"/>
                <c:pt idx="0">
                  <c:v>2.1458000000000001E-2</c:v>
                </c:pt>
                <c:pt idx="1">
                  <c:v>3.4375000000000003E-2</c:v>
                </c:pt>
                <c:pt idx="2">
                  <c:v>4.7292000000000001E-2</c:v>
                </c:pt>
                <c:pt idx="3">
                  <c:v>6.0207999999999998E-2</c:v>
                </c:pt>
                <c:pt idx="4">
                  <c:v>7.3124999999999996E-2</c:v>
                </c:pt>
                <c:pt idx="5">
                  <c:v>8.6041999999999993E-2</c:v>
                </c:pt>
                <c:pt idx="6">
                  <c:v>9.8958000000000004E-2</c:v>
                </c:pt>
                <c:pt idx="7">
                  <c:v>0.11187999999999999</c:v>
                </c:pt>
                <c:pt idx="8">
                  <c:v>0.12479</c:v>
                </c:pt>
                <c:pt idx="9">
                  <c:v>0.13771</c:v>
                </c:pt>
                <c:pt idx="10">
                  <c:v>0.15062999999999999</c:v>
                </c:pt>
                <c:pt idx="11">
                  <c:v>0.16353999999999999</c:v>
                </c:pt>
                <c:pt idx="12" formatCode="General">
                  <c:v>0.17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3959552"/>
        <c:axId val="-1573959008"/>
      </c:scatterChart>
      <c:valAx>
        <c:axId val="-15739595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-1573959008"/>
        <c:crosses val="autoZero"/>
        <c:crossBetween val="midCat"/>
      </c:valAx>
      <c:valAx>
        <c:axId val="-15739590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-157395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nbe400fast!$C$34:$C$58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nbe400fast!$D$34:$D$58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nbe400fast!$E$34:$E$58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nbe400fast!$F$34:$F$58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nbe400fast!$G$34:$G$58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nbe400fast!$H$34:$H$58</c:f>
              <c:numCache>
                <c:formatCode>General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3967712"/>
        <c:axId val="-1573961184"/>
      </c:scatterChart>
      <c:valAx>
        <c:axId val="-1573967712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61184"/>
        <c:crosses val="autoZero"/>
        <c:crossBetween val="midCat"/>
      </c:valAx>
      <c:valAx>
        <c:axId val="-157396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67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'200'!$B$8:$B$30</c:f>
              <c:numCache>
                <c:formatCode>General</c:formatCode>
                <c:ptCount val="23"/>
                <c:pt idx="0">
                  <c:v>0</c:v>
                </c:pt>
                <c:pt idx="1">
                  <c:v>4.1939999999999998E-2</c:v>
                </c:pt>
                <c:pt idx="2">
                  <c:v>8.3879999999999996E-2</c:v>
                </c:pt>
                <c:pt idx="3">
                  <c:v>0.12583</c:v>
                </c:pt>
                <c:pt idx="4">
                  <c:v>0.16777</c:v>
                </c:pt>
                <c:pt idx="5">
                  <c:v>0.20971000000000001</c:v>
                </c:pt>
                <c:pt idx="6">
                  <c:v>0.25164999999999998</c:v>
                </c:pt>
                <c:pt idx="7">
                  <c:v>0.29359000000000002</c:v>
                </c:pt>
                <c:pt idx="8">
                  <c:v>0.33552999999999999</c:v>
                </c:pt>
                <c:pt idx="9">
                  <c:v>0.37747999999999998</c:v>
                </c:pt>
                <c:pt idx="10">
                  <c:v>0.41942000000000002</c:v>
                </c:pt>
                <c:pt idx="11">
                  <c:v>0.46135999999999999</c:v>
                </c:pt>
                <c:pt idx="12">
                  <c:v>0.50329999999999997</c:v>
                </c:pt>
                <c:pt idx="13">
                  <c:v>0.54523999999999995</c:v>
                </c:pt>
                <c:pt idx="14">
                  <c:v>0.58718000000000004</c:v>
                </c:pt>
                <c:pt idx="15">
                  <c:v>0.62912999999999997</c:v>
                </c:pt>
                <c:pt idx="16">
                  <c:v>0.67107000000000006</c:v>
                </c:pt>
                <c:pt idx="17">
                  <c:v>0.71301000000000003</c:v>
                </c:pt>
                <c:pt idx="18">
                  <c:v>0.75495000000000001</c:v>
                </c:pt>
                <c:pt idx="19">
                  <c:v>0.79688999999999999</c:v>
                </c:pt>
                <c:pt idx="20">
                  <c:v>0.83882999999999996</c:v>
                </c:pt>
                <c:pt idx="21">
                  <c:v>0.88078000000000001</c:v>
                </c:pt>
                <c:pt idx="22">
                  <c:v>0.92271999999999998</c:v>
                </c:pt>
              </c:numCache>
            </c:numRef>
          </c:xVal>
          <c:yVal>
            <c:numRef>
              <c:f>'200'!$C$8:$C$30</c:f>
              <c:numCache>
                <c:formatCode>General</c:formatCode>
                <c:ptCount val="23"/>
                <c:pt idx="0">
                  <c:v>0</c:v>
                </c:pt>
                <c:pt idx="1">
                  <c:v>5.3400000000000003E-2</c:v>
                </c:pt>
                <c:pt idx="2">
                  <c:v>0.1124</c:v>
                </c:pt>
                <c:pt idx="3">
                  <c:v>0.17760000000000001</c:v>
                </c:pt>
                <c:pt idx="4">
                  <c:v>0.248</c:v>
                </c:pt>
                <c:pt idx="5">
                  <c:v>0.32150000000000001</c:v>
                </c:pt>
                <c:pt idx="6">
                  <c:v>0.39500000000000002</c:v>
                </c:pt>
                <c:pt idx="7">
                  <c:v>0.46529999999999999</c:v>
                </c:pt>
                <c:pt idx="8">
                  <c:v>0.52949999999999997</c:v>
                </c:pt>
                <c:pt idx="9">
                  <c:v>0.5857</c:v>
                </c:pt>
                <c:pt idx="10">
                  <c:v>0.63260000000000005</c:v>
                </c:pt>
                <c:pt idx="11">
                  <c:v>0.67030000000000001</c:v>
                </c:pt>
                <c:pt idx="12">
                  <c:v>0.72350000000000003</c:v>
                </c:pt>
                <c:pt idx="13">
                  <c:v>0.75460000000000005</c:v>
                </c:pt>
                <c:pt idx="14">
                  <c:v>0.78100000000000003</c:v>
                </c:pt>
                <c:pt idx="15">
                  <c:v>0.80489999999999995</c:v>
                </c:pt>
                <c:pt idx="16">
                  <c:v>0.82630000000000003</c:v>
                </c:pt>
                <c:pt idx="17">
                  <c:v>0.8448</c:v>
                </c:pt>
                <c:pt idx="18">
                  <c:v>0.8599</c:v>
                </c:pt>
                <c:pt idx="19">
                  <c:v>0.86950000000000005</c:v>
                </c:pt>
                <c:pt idx="20">
                  <c:v>0.87009999999999998</c:v>
                </c:pt>
                <c:pt idx="21">
                  <c:v>0.85389999999999999</c:v>
                </c:pt>
                <c:pt idx="22">
                  <c:v>0.7964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3957376"/>
        <c:axId val="-1573967168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'200'!$B$8:$B$34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4.1939999999999998E-2</c:v>
                </c:pt>
                <c:pt idx="2">
                  <c:v>8.3879999999999996E-2</c:v>
                </c:pt>
                <c:pt idx="3">
                  <c:v>0.12583</c:v>
                </c:pt>
                <c:pt idx="4">
                  <c:v>0.16777</c:v>
                </c:pt>
                <c:pt idx="5">
                  <c:v>0.20971000000000001</c:v>
                </c:pt>
                <c:pt idx="6">
                  <c:v>0.25164999999999998</c:v>
                </c:pt>
                <c:pt idx="7">
                  <c:v>0.29359000000000002</c:v>
                </c:pt>
                <c:pt idx="8">
                  <c:v>0.33552999999999999</c:v>
                </c:pt>
                <c:pt idx="9">
                  <c:v>0.37747999999999998</c:v>
                </c:pt>
                <c:pt idx="10">
                  <c:v>0.41942000000000002</c:v>
                </c:pt>
                <c:pt idx="11">
                  <c:v>0.46135999999999999</c:v>
                </c:pt>
                <c:pt idx="12">
                  <c:v>0.50329999999999997</c:v>
                </c:pt>
                <c:pt idx="13">
                  <c:v>0.54523999999999995</c:v>
                </c:pt>
                <c:pt idx="14">
                  <c:v>0.58718000000000004</c:v>
                </c:pt>
                <c:pt idx="15">
                  <c:v>0.62912999999999997</c:v>
                </c:pt>
                <c:pt idx="16">
                  <c:v>0.67107000000000006</c:v>
                </c:pt>
                <c:pt idx="17">
                  <c:v>0.71301000000000003</c:v>
                </c:pt>
                <c:pt idx="18">
                  <c:v>0.75495000000000001</c:v>
                </c:pt>
                <c:pt idx="19">
                  <c:v>0.79688999999999999</c:v>
                </c:pt>
                <c:pt idx="20">
                  <c:v>0.83882999999999996</c:v>
                </c:pt>
                <c:pt idx="21">
                  <c:v>0.88078000000000001</c:v>
                </c:pt>
                <c:pt idx="22">
                  <c:v>0.92271999999999998</c:v>
                </c:pt>
                <c:pt idx="23">
                  <c:v>0.96465999999999996</c:v>
                </c:pt>
              </c:numCache>
            </c:numRef>
          </c:xVal>
          <c:yVal>
            <c:numRef>
              <c:f>'200'!$E$8:$E$34</c:f>
              <c:numCache>
                <c:formatCode>0.00E+00</c:formatCode>
                <c:ptCount val="27"/>
                <c:pt idx="0">
                  <c:v>4.9239999999999999E-2</c:v>
                </c:pt>
                <c:pt idx="1">
                  <c:v>4.8030000000000003E-2</c:v>
                </c:pt>
                <c:pt idx="2">
                  <c:v>4.7140000000000001E-2</c:v>
                </c:pt>
                <c:pt idx="3">
                  <c:v>4.6730000000000001E-2</c:v>
                </c:pt>
                <c:pt idx="4">
                  <c:v>4.6920000000000003E-2</c:v>
                </c:pt>
                <c:pt idx="5">
                  <c:v>4.7800000000000002E-2</c:v>
                </c:pt>
                <c:pt idx="6">
                  <c:v>4.9439999999999998E-2</c:v>
                </c:pt>
                <c:pt idx="7">
                  <c:v>5.185E-2</c:v>
                </c:pt>
                <c:pt idx="8">
                  <c:v>5.5050000000000002E-2</c:v>
                </c:pt>
                <c:pt idx="9">
                  <c:v>5.9020000000000003E-2</c:v>
                </c:pt>
                <c:pt idx="10">
                  <c:v>6.3759999999999997E-2</c:v>
                </c:pt>
                <c:pt idx="11">
                  <c:v>6.9239999999999996E-2</c:v>
                </c:pt>
                <c:pt idx="12">
                  <c:v>7.3330000000000006E-2</c:v>
                </c:pt>
                <c:pt idx="13">
                  <c:v>7.0989999999999998E-2</c:v>
                </c:pt>
                <c:pt idx="14">
                  <c:v>6.8110000000000004E-2</c:v>
                </c:pt>
                <c:pt idx="15">
                  <c:v>6.4570000000000002E-2</c:v>
                </c:pt>
                <c:pt idx="16">
                  <c:v>6.0350000000000001E-2</c:v>
                </c:pt>
                <c:pt idx="17">
                  <c:v>5.543E-2</c:v>
                </c:pt>
                <c:pt idx="18">
                  <c:v>4.9770000000000002E-2</c:v>
                </c:pt>
                <c:pt idx="19">
                  <c:v>4.3369999999999999E-2</c:v>
                </c:pt>
                <c:pt idx="20">
                  <c:v>3.6220000000000002E-2</c:v>
                </c:pt>
                <c:pt idx="21">
                  <c:v>2.827E-2</c:v>
                </c:pt>
                <c:pt idx="22">
                  <c:v>1.9529999999999999E-2</c:v>
                </c:pt>
                <c:pt idx="23">
                  <c:v>9.9690000000000004E-3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'200'!$B$8:$B$34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4.1939999999999998E-2</c:v>
                </c:pt>
                <c:pt idx="2">
                  <c:v>8.3879999999999996E-2</c:v>
                </c:pt>
                <c:pt idx="3">
                  <c:v>0.12583</c:v>
                </c:pt>
                <c:pt idx="4">
                  <c:v>0.16777</c:v>
                </c:pt>
                <c:pt idx="5">
                  <c:v>0.20971000000000001</c:v>
                </c:pt>
                <c:pt idx="6">
                  <c:v>0.25164999999999998</c:v>
                </c:pt>
                <c:pt idx="7">
                  <c:v>0.29359000000000002</c:v>
                </c:pt>
                <c:pt idx="8">
                  <c:v>0.33552999999999999</c:v>
                </c:pt>
                <c:pt idx="9">
                  <c:v>0.37747999999999998</c:v>
                </c:pt>
                <c:pt idx="10">
                  <c:v>0.41942000000000002</c:v>
                </c:pt>
                <c:pt idx="11">
                  <c:v>0.46135999999999999</c:v>
                </c:pt>
                <c:pt idx="12">
                  <c:v>0.50329999999999997</c:v>
                </c:pt>
                <c:pt idx="13">
                  <c:v>0.54523999999999995</c:v>
                </c:pt>
                <c:pt idx="14">
                  <c:v>0.58718000000000004</c:v>
                </c:pt>
                <c:pt idx="15">
                  <c:v>0.62912999999999997</c:v>
                </c:pt>
                <c:pt idx="16">
                  <c:v>0.67107000000000006</c:v>
                </c:pt>
                <c:pt idx="17">
                  <c:v>0.71301000000000003</c:v>
                </c:pt>
                <c:pt idx="18">
                  <c:v>0.75495000000000001</c:v>
                </c:pt>
                <c:pt idx="19">
                  <c:v>0.79688999999999999</c:v>
                </c:pt>
                <c:pt idx="20">
                  <c:v>0.83882999999999996</c:v>
                </c:pt>
                <c:pt idx="21">
                  <c:v>0.88078000000000001</c:v>
                </c:pt>
                <c:pt idx="22">
                  <c:v>0.92271999999999998</c:v>
                </c:pt>
                <c:pt idx="23">
                  <c:v>0.96465999999999996</c:v>
                </c:pt>
              </c:numCache>
            </c:numRef>
          </c:xVal>
          <c:yVal>
            <c:numRef>
              <c:f>'200'!$D$8:$D$34</c:f>
              <c:numCache>
                <c:formatCode>0.00E+00</c:formatCode>
                <c:ptCount val="27"/>
                <c:pt idx="0">
                  <c:v>5.9790000000000003E-2</c:v>
                </c:pt>
                <c:pt idx="1">
                  <c:v>6.1150000000000003E-2</c:v>
                </c:pt>
                <c:pt idx="2">
                  <c:v>6.3189999999999996E-2</c:v>
                </c:pt>
                <c:pt idx="3">
                  <c:v>6.5939999999999999E-2</c:v>
                </c:pt>
                <c:pt idx="4">
                  <c:v>6.9339999999999999E-2</c:v>
                </c:pt>
                <c:pt idx="5">
                  <c:v>7.3279999999999998E-2</c:v>
                </c:pt>
                <c:pt idx="6">
                  <c:v>7.7600000000000002E-2</c:v>
                </c:pt>
                <c:pt idx="7">
                  <c:v>8.2180000000000003E-2</c:v>
                </c:pt>
                <c:pt idx="8">
                  <c:v>8.6879999999999999E-2</c:v>
                </c:pt>
                <c:pt idx="9">
                  <c:v>9.1579999999999995E-2</c:v>
                </c:pt>
                <c:pt idx="10">
                  <c:v>9.6180000000000002E-2</c:v>
                </c:pt>
                <c:pt idx="11">
                  <c:v>0.10059999999999999</c:v>
                </c:pt>
                <c:pt idx="12">
                  <c:v>0.10539999999999999</c:v>
                </c:pt>
                <c:pt idx="13">
                  <c:v>9.8250000000000004E-2</c:v>
                </c:pt>
                <c:pt idx="14">
                  <c:v>9.0590000000000004E-2</c:v>
                </c:pt>
                <c:pt idx="15">
                  <c:v>8.2610000000000003E-2</c:v>
                </c:pt>
                <c:pt idx="16">
                  <c:v>7.4310000000000001E-2</c:v>
                </c:pt>
                <c:pt idx="17">
                  <c:v>6.5680000000000002E-2</c:v>
                </c:pt>
                <c:pt idx="18">
                  <c:v>5.6689999999999997E-2</c:v>
                </c:pt>
                <c:pt idx="19">
                  <c:v>4.7320000000000001E-2</c:v>
                </c:pt>
                <c:pt idx="20">
                  <c:v>3.7569999999999999E-2</c:v>
                </c:pt>
                <c:pt idx="21">
                  <c:v>2.741E-2</c:v>
                </c:pt>
                <c:pt idx="22">
                  <c:v>1.686E-2</c:v>
                </c:pt>
                <c:pt idx="23">
                  <c:v>5.8979999999999996E-3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3963360"/>
        <c:axId val="-1573965536"/>
      </c:scatterChart>
      <c:valAx>
        <c:axId val="-157395737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67168"/>
        <c:crosses val="autoZero"/>
        <c:crossBetween val="midCat"/>
      </c:valAx>
      <c:valAx>
        <c:axId val="-15739671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57376"/>
        <c:crosses val="autoZero"/>
        <c:crossBetween val="midCat"/>
      </c:valAx>
      <c:valAx>
        <c:axId val="-1573965536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3963360"/>
        <c:crosses val="max"/>
        <c:crossBetween val="midCat"/>
      </c:valAx>
      <c:valAx>
        <c:axId val="-1573963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573965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'200'!$Y$11:$Y$16</c:f>
              <c:numCache>
                <c:formatCode>0.000</c:formatCode>
                <c:ptCount val="6"/>
                <c:pt idx="0">
                  <c:v>-3.2843595450723901</c:v>
                </c:pt>
                <c:pt idx="1">
                  <c:v>-3.1360681113739535</c:v>
                </c:pt>
                <c:pt idx="2">
                  <c:v>-2.9165908048511096</c:v>
                </c:pt>
                <c:pt idx="3">
                  <c:v>-2.6563270364916285</c:v>
                </c:pt>
                <c:pt idx="4">
                  <c:v>-2.3829299079510657</c:v>
                </c:pt>
                <c:pt idx="5">
                  <c:v>-2.1166645764643297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'200'!$AB$11:$AB$16</c:f>
              <c:numCache>
                <c:formatCode>0.000</c:formatCode>
                <c:ptCount val="6"/>
                <c:pt idx="0">
                  <c:v>-6.7101016479757991</c:v>
                </c:pt>
                <c:pt idx="1">
                  <c:v>-6.1189661579684413</c:v>
                </c:pt>
                <c:pt idx="2">
                  <c:v>-5.3355604539350683</c:v>
                </c:pt>
                <c:pt idx="3">
                  <c:v>-4.5245727186764588</c:v>
                </c:pt>
                <c:pt idx="4">
                  <c:v>-3.7849092330110863</c:v>
                </c:pt>
                <c:pt idx="5">
                  <c:v>-3.1546031292958983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'200'!$Y$21:$Y$26</c:f>
              <c:numCache>
                <c:formatCode>General</c:formatCode>
                <c:ptCount val="6"/>
                <c:pt idx="2">
                  <c:v>-2.5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3934992"/>
        <c:axId val="-1623929552"/>
      </c:scatterChart>
      <c:valAx>
        <c:axId val="-16239349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23929552"/>
        <c:crosses val="autoZero"/>
        <c:crossBetween val="midCat"/>
      </c:valAx>
      <c:valAx>
        <c:axId val="-16239295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2393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'200'!$Q$3:$Q$13</c:f>
              <c:numCache>
                <c:formatCode>0.00</c:formatCode>
                <c:ptCount val="11"/>
              </c:numCache>
            </c:numRef>
          </c:xVal>
          <c:yVal>
            <c:numRef>
              <c:f>'200'!$P$3:$P$13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3938256"/>
        <c:axId val="-1623937712"/>
      </c:scatterChart>
      <c:valAx>
        <c:axId val="-16239382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623937712"/>
        <c:crosses val="autoZero"/>
        <c:crossBetween val="midCat"/>
      </c:valAx>
      <c:valAx>
        <c:axId val="-162393771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62393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3931728"/>
        <c:axId val="-1623928464"/>
      </c:scatterChart>
      <c:valAx>
        <c:axId val="-1623931728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23928464"/>
        <c:crosses val="autoZero"/>
        <c:crossBetween val="midCat"/>
      </c:valAx>
      <c:valAx>
        <c:axId val="-162392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2393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'280i'!$B$8:$B$28</c:f>
              <c:numCache>
                <c:formatCode>General</c:formatCode>
                <c:ptCount val="21"/>
                <c:pt idx="0">
                  <c:v>0</c:v>
                </c:pt>
                <c:pt idx="1">
                  <c:v>4.4139999999999999E-2</c:v>
                </c:pt>
                <c:pt idx="2">
                  <c:v>8.8270000000000001E-2</c:v>
                </c:pt>
                <c:pt idx="3">
                  <c:v>0.13241</c:v>
                </c:pt>
                <c:pt idx="4">
                  <c:v>0.17654</c:v>
                </c:pt>
                <c:pt idx="5">
                  <c:v>0.22067999999999999</c:v>
                </c:pt>
                <c:pt idx="6">
                  <c:v>0.26480999999999999</c:v>
                </c:pt>
                <c:pt idx="7">
                  <c:v>0.30895</c:v>
                </c:pt>
                <c:pt idx="8">
                  <c:v>0.35309000000000001</c:v>
                </c:pt>
                <c:pt idx="9">
                  <c:v>0.39722000000000002</c:v>
                </c:pt>
                <c:pt idx="10">
                  <c:v>0.44135999999999997</c:v>
                </c:pt>
                <c:pt idx="11">
                  <c:v>0.48548999999999998</c:v>
                </c:pt>
                <c:pt idx="12">
                  <c:v>0.52963000000000005</c:v>
                </c:pt>
                <c:pt idx="13">
                  <c:v>0.57377</c:v>
                </c:pt>
                <c:pt idx="14">
                  <c:v>0.6179</c:v>
                </c:pt>
                <c:pt idx="15">
                  <c:v>0.66203999999999996</c:v>
                </c:pt>
                <c:pt idx="16">
                  <c:v>0.70616999999999996</c:v>
                </c:pt>
                <c:pt idx="17">
                  <c:v>0.75031000000000003</c:v>
                </c:pt>
                <c:pt idx="18">
                  <c:v>0.79444000000000004</c:v>
                </c:pt>
                <c:pt idx="19">
                  <c:v>0.83857999999999999</c:v>
                </c:pt>
                <c:pt idx="20">
                  <c:v>0.88271999999999995</c:v>
                </c:pt>
              </c:numCache>
            </c:numRef>
          </c:xVal>
          <c:yVal>
            <c:numRef>
              <c:f>'280i'!$C$8:$C$28</c:f>
              <c:numCache>
                <c:formatCode>General</c:formatCode>
                <c:ptCount val="21"/>
                <c:pt idx="0">
                  <c:v>0</c:v>
                </c:pt>
                <c:pt idx="1">
                  <c:v>5.5300000000000002E-2</c:v>
                </c:pt>
                <c:pt idx="2">
                  <c:v>0.1169</c:v>
                </c:pt>
                <c:pt idx="3">
                  <c:v>0.186</c:v>
                </c:pt>
                <c:pt idx="4">
                  <c:v>0.26250000000000001</c:v>
                </c:pt>
                <c:pt idx="5">
                  <c:v>0.34410000000000002</c:v>
                </c:pt>
                <c:pt idx="6">
                  <c:v>0.42749999999999999</c:v>
                </c:pt>
                <c:pt idx="7">
                  <c:v>0.50819999999999999</c:v>
                </c:pt>
                <c:pt idx="8">
                  <c:v>0.58260000000000001</c:v>
                </c:pt>
                <c:pt idx="9">
                  <c:v>0.64790000000000003</c:v>
                </c:pt>
                <c:pt idx="10">
                  <c:v>0.7026</c:v>
                </c:pt>
                <c:pt idx="11">
                  <c:v>0.74639999999999995</c:v>
                </c:pt>
                <c:pt idx="12">
                  <c:v>0.78149999999999997</c:v>
                </c:pt>
                <c:pt idx="13">
                  <c:v>0.83379999999999999</c:v>
                </c:pt>
                <c:pt idx="14">
                  <c:v>0.85499999999999998</c:v>
                </c:pt>
                <c:pt idx="15">
                  <c:v>0.87290000000000001</c:v>
                </c:pt>
                <c:pt idx="16">
                  <c:v>0.88719999999999999</c:v>
                </c:pt>
                <c:pt idx="17">
                  <c:v>0.89670000000000005</c:v>
                </c:pt>
                <c:pt idx="18">
                  <c:v>0.89770000000000005</c:v>
                </c:pt>
                <c:pt idx="19">
                  <c:v>0.88149999999999995</c:v>
                </c:pt>
                <c:pt idx="20">
                  <c:v>0.82110000000000005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8917328"/>
        <c:axId val="-1588924400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'280i'!$B$8:$B$34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4.4139999999999999E-2</c:v>
                </c:pt>
                <c:pt idx="2">
                  <c:v>8.8270000000000001E-2</c:v>
                </c:pt>
                <c:pt idx="3">
                  <c:v>0.13241</c:v>
                </c:pt>
                <c:pt idx="4">
                  <c:v>0.17654</c:v>
                </c:pt>
                <c:pt idx="5">
                  <c:v>0.22067999999999999</c:v>
                </c:pt>
                <c:pt idx="6">
                  <c:v>0.26480999999999999</c:v>
                </c:pt>
                <c:pt idx="7">
                  <c:v>0.30895</c:v>
                </c:pt>
                <c:pt idx="8">
                  <c:v>0.35309000000000001</c:v>
                </c:pt>
                <c:pt idx="9">
                  <c:v>0.39722000000000002</c:v>
                </c:pt>
                <c:pt idx="10">
                  <c:v>0.44135999999999997</c:v>
                </c:pt>
                <c:pt idx="11">
                  <c:v>0.48548999999999998</c:v>
                </c:pt>
                <c:pt idx="12">
                  <c:v>0.52963000000000005</c:v>
                </c:pt>
                <c:pt idx="13">
                  <c:v>0.57377</c:v>
                </c:pt>
                <c:pt idx="14">
                  <c:v>0.6179</c:v>
                </c:pt>
                <c:pt idx="15">
                  <c:v>0.66203999999999996</c:v>
                </c:pt>
                <c:pt idx="16">
                  <c:v>0.70616999999999996</c:v>
                </c:pt>
                <c:pt idx="17">
                  <c:v>0.75031000000000003</c:v>
                </c:pt>
                <c:pt idx="18">
                  <c:v>0.79444000000000004</c:v>
                </c:pt>
                <c:pt idx="19">
                  <c:v>0.83857999999999999</c:v>
                </c:pt>
                <c:pt idx="20">
                  <c:v>0.88271999999999995</c:v>
                </c:pt>
                <c:pt idx="21">
                  <c:v>0.92684999999999995</c:v>
                </c:pt>
              </c:numCache>
            </c:numRef>
          </c:xVal>
          <c:yVal>
            <c:numRef>
              <c:f>'280i'!$E$8:$E$34</c:f>
              <c:numCache>
                <c:formatCode>0.00E+00</c:formatCode>
                <c:ptCount val="27"/>
                <c:pt idx="0">
                  <c:v>2.997E-2</c:v>
                </c:pt>
                <c:pt idx="1">
                  <c:v>2.9059999999999999E-2</c:v>
                </c:pt>
                <c:pt idx="2">
                  <c:v>2.828E-2</c:v>
                </c:pt>
                <c:pt idx="3">
                  <c:v>2.777E-2</c:v>
                </c:pt>
                <c:pt idx="4">
                  <c:v>2.7640000000000001E-2</c:v>
                </c:pt>
                <c:pt idx="5">
                  <c:v>2.7959999999999999E-2</c:v>
                </c:pt>
                <c:pt idx="6">
                  <c:v>2.877E-2</c:v>
                </c:pt>
                <c:pt idx="7">
                  <c:v>3.0099999999999998E-2</c:v>
                </c:pt>
                <c:pt idx="8">
                  <c:v>3.1940000000000003E-2</c:v>
                </c:pt>
                <c:pt idx="9">
                  <c:v>3.4299999999999997E-2</c:v>
                </c:pt>
                <c:pt idx="10">
                  <c:v>3.7170000000000002E-2</c:v>
                </c:pt>
                <c:pt idx="11">
                  <c:v>4.0529999999999997E-2</c:v>
                </c:pt>
                <c:pt idx="12">
                  <c:v>4.4260000000000001E-2</c:v>
                </c:pt>
                <c:pt idx="13">
                  <c:v>4.3209999999999998E-2</c:v>
                </c:pt>
                <c:pt idx="14">
                  <c:v>4.0599999999999997E-2</c:v>
                </c:pt>
                <c:pt idx="15">
                  <c:v>3.7429999999999998E-2</c:v>
                </c:pt>
                <c:pt idx="16">
                  <c:v>3.3680000000000002E-2</c:v>
                </c:pt>
                <c:pt idx="17">
                  <c:v>2.9329999999999998E-2</c:v>
                </c:pt>
                <c:pt idx="18">
                  <c:v>2.4369999999999999E-2</c:v>
                </c:pt>
                <c:pt idx="19">
                  <c:v>1.8800000000000001E-2</c:v>
                </c:pt>
                <c:pt idx="20">
                  <c:v>1.2579999999999999E-2</c:v>
                </c:pt>
                <c:pt idx="21">
                  <c:v>5.7149999999999996E-3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'280i'!$B$8:$B$34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4.4139999999999999E-2</c:v>
                </c:pt>
                <c:pt idx="2">
                  <c:v>8.8270000000000001E-2</c:v>
                </c:pt>
                <c:pt idx="3">
                  <c:v>0.13241</c:v>
                </c:pt>
                <c:pt idx="4">
                  <c:v>0.17654</c:v>
                </c:pt>
                <c:pt idx="5">
                  <c:v>0.22067999999999999</c:v>
                </c:pt>
                <c:pt idx="6">
                  <c:v>0.26480999999999999</c:v>
                </c:pt>
                <c:pt idx="7">
                  <c:v>0.30895</c:v>
                </c:pt>
                <c:pt idx="8">
                  <c:v>0.35309000000000001</c:v>
                </c:pt>
                <c:pt idx="9">
                  <c:v>0.39722000000000002</c:v>
                </c:pt>
                <c:pt idx="10">
                  <c:v>0.44135999999999997</c:v>
                </c:pt>
                <c:pt idx="11">
                  <c:v>0.48548999999999998</c:v>
                </c:pt>
                <c:pt idx="12">
                  <c:v>0.52963000000000005</c:v>
                </c:pt>
                <c:pt idx="13">
                  <c:v>0.57377</c:v>
                </c:pt>
                <c:pt idx="14">
                  <c:v>0.6179</c:v>
                </c:pt>
                <c:pt idx="15">
                  <c:v>0.66203999999999996</c:v>
                </c:pt>
                <c:pt idx="16">
                  <c:v>0.70616999999999996</c:v>
                </c:pt>
                <c:pt idx="17">
                  <c:v>0.75031000000000003</c:v>
                </c:pt>
                <c:pt idx="18">
                  <c:v>0.79444000000000004</c:v>
                </c:pt>
                <c:pt idx="19">
                  <c:v>0.83857999999999999</c:v>
                </c:pt>
                <c:pt idx="20">
                  <c:v>0.88271999999999995</c:v>
                </c:pt>
                <c:pt idx="21">
                  <c:v>0.92684999999999995</c:v>
                </c:pt>
              </c:numCache>
            </c:numRef>
          </c:xVal>
          <c:yVal>
            <c:numRef>
              <c:f>'280i'!$D$8:$D$34</c:f>
              <c:numCache>
                <c:formatCode>0.00E+00</c:formatCode>
                <c:ptCount val="27"/>
                <c:pt idx="0">
                  <c:v>3.5889999999999998E-2</c:v>
                </c:pt>
                <c:pt idx="1">
                  <c:v>3.6429999999999997E-2</c:v>
                </c:pt>
                <c:pt idx="2">
                  <c:v>3.7449999999999997E-2</c:v>
                </c:pt>
                <c:pt idx="3">
                  <c:v>3.9019999999999999E-2</c:v>
                </c:pt>
                <c:pt idx="4">
                  <c:v>4.1090000000000002E-2</c:v>
                </c:pt>
                <c:pt idx="5">
                  <c:v>4.36E-2</c:v>
                </c:pt>
                <c:pt idx="6">
                  <c:v>4.6440000000000002E-2</c:v>
                </c:pt>
                <c:pt idx="7">
                  <c:v>4.9509999999999998E-2</c:v>
                </c:pt>
                <c:pt idx="8">
                  <c:v>5.271E-2</c:v>
                </c:pt>
                <c:pt idx="9">
                  <c:v>5.595E-2</c:v>
                </c:pt>
                <c:pt idx="10">
                  <c:v>5.917E-2</c:v>
                </c:pt>
                <c:pt idx="11">
                  <c:v>6.2300000000000001E-2</c:v>
                </c:pt>
                <c:pt idx="12">
                  <c:v>6.5310000000000007E-2</c:v>
                </c:pt>
                <c:pt idx="13">
                  <c:v>6.2789999999999999E-2</c:v>
                </c:pt>
                <c:pt idx="14">
                  <c:v>5.6180000000000001E-2</c:v>
                </c:pt>
                <c:pt idx="15">
                  <c:v>4.9349999999999998E-2</c:v>
                </c:pt>
                <c:pt idx="16">
                  <c:v>4.2320000000000003E-2</c:v>
                </c:pt>
                <c:pt idx="17">
                  <c:v>3.5049999999999998E-2</c:v>
                </c:pt>
                <c:pt idx="18">
                  <c:v>2.7539999999999999E-2</c:v>
                </c:pt>
                <c:pt idx="19">
                  <c:v>1.976E-2</c:v>
                </c:pt>
                <c:pt idx="20">
                  <c:v>1.17E-2</c:v>
                </c:pt>
                <c:pt idx="21">
                  <c:v>3.375E-3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8916240"/>
        <c:axId val="-1588916784"/>
      </c:scatterChart>
      <c:valAx>
        <c:axId val="-158891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8924400"/>
        <c:crosses val="autoZero"/>
        <c:crossBetween val="midCat"/>
      </c:valAx>
      <c:valAx>
        <c:axId val="-1588924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8917328"/>
        <c:crosses val="autoZero"/>
        <c:crossBetween val="midCat"/>
      </c:valAx>
      <c:valAx>
        <c:axId val="-1588916784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8916240"/>
        <c:crosses val="max"/>
        <c:crossBetween val="midCat"/>
      </c:valAx>
      <c:valAx>
        <c:axId val="-1588916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58891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'280i'!$U$11:$U$16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'280i'!$Y$11:$Y$16</c:f>
              <c:numCache>
                <c:formatCode>0.000</c:formatCode>
                <c:ptCount val="6"/>
                <c:pt idx="0">
                  <c:v>-4.6026160968825423</c:v>
                </c:pt>
                <c:pt idx="1">
                  <c:v>-4.3170819027145955</c:v>
                </c:pt>
                <c:pt idx="2">
                  <c:v>-2.8618161983417174</c:v>
                </c:pt>
                <c:pt idx="3">
                  <c:v>-3.4587859729292147</c:v>
                </c:pt>
                <c:pt idx="4">
                  <c:v>-3.0099682995799921</c:v>
                </c:pt>
                <c:pt idx="5">
                  <c:v>-2.5979412221466593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'280i'!$U$11:$U$16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'280i'!$AB$11:$AB$16</c:f>
              <c:numCache>
                <c:formatCode>0.000</c:formatCode>
                <c:ptCount val="6"/>
                <c:pt idx="0">
                  <c:v>-9.3411457591424885</c:v>
                </c:pt>
                <c:pt idx="1">
                  <c:v>-8.2356409462970213</c:v>
                </c:pt>
                <c:pt idx="2">
                  <c:v>-5.2482956844353348</c:v>
                </c:pt>
                <c:pt idx="3">
                  <c:v>-5.5895807716100121</c:v>
                </c:pt>
                <c:pt idx="4">
                  <c:v>-4.5042017754936969</c:v>
                </c:pt>
                <c:pt idx="5">
                  <c:v>-3.6402595475389941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'280i'!$U$21:$U$26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'280i'!$Y$21:$Y$26</c:f>
              <c:numCache>
                <c:formatCode>General</c:formatCode>
                <c:ptCount val="6"/>
                <c:pt idx="2">
                  <c:v>-2.8325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'280i'!$U$21:$U$26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1624608"/>
        <c:axId val="-1624066752"/>
      </c:scatterChart>
      <c:valAx>
        <c:axId val="-15816246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24066752"/>
        <c:crosses val="autoZero"/>
        <c:crossBetween val="midCat"/>
      </c:valAx>
      <c:valAx>
        <c:axId val="-16240667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1624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'280i'!$Q$3:$Q$13</c:f>
              <c:numCache>
                <c:formatCode>0.00</c:formatCode>
                <c:ptCount val="11"/>
              </c:numCache>
            </c:numRef>
          </c:xVal>
          <c:yVal>
            <c:numRef>
              <c:f>'280i'!$P$3:$P$13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9646016"/>
        <c:axId val="-1589638400"/>
      </c:scatterChart>
      <c:valAx>
        <c:axId val="-158964601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89638400"/>
        <c:crosses val="autoZero"/>
        <c:crossBetween val="midCat"/>
      </c:valAx>
      <c:valAx>
        <c:axId val="-1589638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8964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9639488"/>
        <c:axId val="-1589649280"/>
      </c:scatterChart>
      <c:valAx>
        <c:axId val="-1589639488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49280"/>
        <c:crosses val="autoZero"/>
        <c:crossBetween val="midCat"/>
      </c:valAx>
      <c:valAx>
        <c:axId val="-158964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3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'300i'!$B$8:$B$28</c:f>
              <c:numCache>
                <c:formatCode>0.0000</c:formatCode>
                <c:ptCount val="21"/>
                <c:pt idx="0">
                  <c:v>0</c:v>
                </c:pt>
                <c:pt idx="1">
                  <c:v>4.4940000000000001E-2</c:v>
                </c:pt>
                <c:pt idx="2">
                  <c:v>8.9870000000000005E-2</c:v>
                </c:pt>
                <c:pt idx="3">
                  <c:v>0.13481000000000001</c:v>
                </c:pt>
                <c:pt idx="4">
                  <c:v>0.17974999999999999</c:v>
                </c:pt>
                <c:pt idx="5">
                  <c:v>0.22469</c:v>
                </c:pt>
                <c:pt idx="6">
                  <c:v>0.26962000000000003</c:v>
                </c:pt>
                <c:pt idx="7">
                  <c:v>0.31456000000000001</c:v>
                </c:pt>
                <c:pt idx="8">
                  <c:v>0.35949999999999999</c:v>
                </c:pt>
                <c:pt idx="9">
                  <c:v>0.40444000000000002</c:v>
                </c:pt>
                <c:pt idx="10">
                  <c:v>0.44936999999999999</c:v>
                </c:pt>
                <c:pt idx="11">
                  <c:v>0.49431000000000003</c:v>
                </c:pt>
                <c:pt idx="12">
                  <c:v>0.53925000000000001</c:v>
                </c:pt>
                <c:pt idx="13">
                  <c:v>0.58418999999999999</c:v>
                </c:pt>
                <c:pt idx="14">
                  <c:v>0.62912000000000001</c:v>
                </c:pt>
                <c:pt idx="15">
                  <c:v>0.67405999999999999</c:v>
                </c:pt>
                <c:pt idx="16">
                  <c:v>0.71899999999999997</c:v>
                </c:pt>
                <c:pt idx="17">
                  <c:v>0.76393999999999995</c:v>
                </c:pt>
                <c:pt idx="18">
                  <c:v>0.80886999999999998</c:v>
                </c:pt>
                <c:pt idx="19">
                  <c:v>0.85380999999999996</c:v>
                </c:pt>
                <c:pt idx="20">
                  <c:v>0.89875000000000005</c:v>
                </c:pt>
              </c:numCache>
            </c:numRef>
          </c:xVal>
          <c:yVal>
            <c:numRef>
              <c:f>'300i'!$C$8:$C$28</c:f>
              <c:numCache>
                <c:formatCode>0.0000</c:formatCode>
                <c:ptCount val="21"/>
                <c:pt idx="0">
                  <c:v>0</c:v>
                </c:pt>
                <c:pt idx="1">
                  <c:v>5.5199999999999999E-2</c:v>
                </c:pt>
                <c:pt idx="2">
                  <c:v>0.1168</c:v>
                </c:pt>
                <c:pt idx="3">
                  <c:v>0.18629999999999999</c:v>
                </c:pt>
                <c:pt idx="4">
                  <c:v>0.2636</c:v>
                </c:pt>
                <c:pt idx="5">
                  <c:v>0.34649999999999997</c:v>
                </c:pt>
                <c:pt idx="6">
                  <c:v>0.43149999999999999</c:v>
                </c:pt>
                <c:pt idx="7">
                  <c:v>0.5141</c:v>
                </c:pt>
                <c:pt idx="8">
                  <c:v>0.59019999999999995</c:v>
                </c:pt>
                <c:pt idx="9">
                  <c:v>0.65710000000000002</c:v>
                </c:pt>
                <c:pt idx="10">
                  <c:v>0.71299999999999997</c:v>
                </c:pt>
                <c:pt idx="11">
                  <c:v>0.75760000000000005</c:v>
                </c:pt>
                <c:pt idx="12">
                  <c:v>0.79339999999999999</c:v>
                </c:pt>
                <c:pt idx="13">
                  <c:v>0.84570000000000001</c:v>
                </c:pt>
                <c:pt idx="14">
                  <c:v>0.86570000000000003</c:v>
                </c:pt>
                <c:pt idx="15">
                  <c:v>0.88229999999999997</c:v>
                </c:pt>
                <c:pt idx="16">
                  <c:v>0.89500000000000002</c:v>
                </c:pt>
                <c:pt idx="17">
                  <c:v>0.90239999999999998</c:v>
                </c:pt>
                <c:pt idx="18">
                  <c:v>0.89980000000000004</c:v>
                </c:pt>
                <c:pt idx="19">
                  <c:v>0.87590000000000001</c:v>
                </c:pt>
                <c:pt idx="20">
                  <c:v>0.79039999999999999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9643296"/>
        <c:axId val="-1589645472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'300i'!$B$8:$B$29</c:f>
              <c:numCache>
                <c:formatCode>0.0000</c:formatCode>
                <c:ptCount val="22"/>
                <c:pt idx="0">
                  <c:v>0</c:v>
                </c:pt>
                <c:pt idx="1">
                  <c:v>4.4940000000000001E-2</c:v>
                </c:pt>
                <c:pt idx="2">
                  <c:v>8.9870000000000005E-2</c:v>
                </c:pt>
                <c:pt idx="3">
                  <c:v>0.13481000000000001</c:v>
                </c:pt>
                <c:pt idx="4">
                  <c:v>0.17974999999999999</c:v>
                </c:pt>
                <c:pt idx="5">
                  <c:v>0.22469</c:v>
                </c:pt>
                <c:pt idx="6">
                  <c:v>0.26962000000000003</c:v>
                </c:pt>
                <c:pt idx="7">
                  <c:v>0.31456000000000001</c:v>
                </c:pt>
                <c:pt idx="8">
                  <c:v>0.35949999999999999</c:v>
                </c:pt>
                <c:pt idx="9">
                  <c:v>0.40444000000000002</c:v>
                </c:pt>
                <c:pt idx="10">
                  <c:v>0.44936999999999999</c:v>
                </c:pt>
                <c:pt idx="11">
                  <c:v>0.49431000000000003</c:v>
                </c:pt>
                <c:pt idx="12">
                  <c:v>0.53925000000000001</c:v>
                </c:pt>
                <c:pt idx="13">
                  <c:v>0.58418999999999999</c:v>
                </c:pt>
                <c:pt idx="14">
                  <c:v>0.62912000000000001</c:v>
                </c:pt>
                <c:pt idx="15">
                  <c:v>0.67405999999999999</c:v>
                </c:pt>
                <c:pt idx="16">
                  <c:v>0.71899999999999997</c:v>
                </c:pt>
                <c:pt idx="17">
                  <c:v>0.76393999999999995</c:v>
                </c:pt>
                <c:pt idx="18">
                  <c:v>0.80886999999999998</c:v>
                </c:pt>
                <c:pt idx="19">
                  <c:v>0.85380999999999996</c:v>
                </c:pt>
                <c:pt idx="20">
                  <c:v>0.89875000000000005</c:v>
                </c:pt>
                <c:pt idx="21">
                  <c:v>0.94369000000000003</c:v>
                </c:pt>
              </c:numCache>
            </c:numRef>
          </c:xVal>
          <c:yVal>
            <c:numRef>
              <c:f>'300i'!$E$8:$E$29</c:f>
              <c:numCache>
                <c:formatCode>0.0000</c:formatCode>
                <c:ptCount val="22"/>
                <c:pt idx="0">
                  <c:v>2.7550000000000002E-2</c:v>
                </c:pt>
                <c:pt idx="1">
                  <c:v>2.6679999999999999E-2</c:v>
                </c:pt>
                <c:pt idx="2">
                  <c:v>2.5919999999999999E-2</c:v>
                </c:pt>
                <c:pt idx="3">
                  <c:v>2.5409999999999999E-2</c:v>
                </c:pt>
                <c:pt idx="4">
                  <c:v>2.5250000000000002E-2</c:v>
                </c:pt>
                <c:pt idx="5">
                  <c:v>2.5510000000000001E-2</c:v>
                </c:pt>
                <c:pt idx="6">
                  <c:v>2.6239999999999999E-2</c:v>
                </c:pt>
                <c:pt idx="7">
                  <c:v>2.7449999999999999E-2</c:v>
                </c:pt>
                <c:pt idx="8">
                  <c:v>2.9149999999999999E-2</c:v>
                </c:pt>
                <c:pt idx="9">
                  <c:v>3.1329999999999997E-2</c:v>
                </c:pt>
                <c:pt idx="10">
                  <c:v>3.3989999999999999E-2</c:v>
                </c:pt>
                <c:pt idx="11">
                  <c:v>3.7100000000000001E-2</c:v>
                </c:pt>
                <c:pt idx="12">
                  <c:v>4.0590000000000001E-2</c:v>
                </c:pt>
                <c:pt idx="13">
                  <c:v>3.9879999999999999E-2</c:v>
                </c:pt>
                <c:pt idx="14">
                  <c:v>3.7350000000000001E-2</c:v>
                </c:pt>
                <c:pt idx="15">
                  <c:v>3.4270000000000002E-2</c:v>
                </c:pt>
                <c:pt idx="16">
                  <c:v>3.0630000000000001E-2</c:v>
                </c:pt>
                <c:pt idx="17">
                  <c:v>2.64E-2</c:v>
                </c:pt>
                <c:pt idx="18">
                  <c:v>2.1590000000000002E-2</c:v>
                </c:pt>
                <c:pt idx="19">
                  <c:v>1.618E-2</c:v>
                </c:pt>
                <c:pt idx="20">
                  <c:v>1.0160000000000001E-2</c:v>
                </c:pt>
                <c:pt idx="21">
                  <c:v>4.2960000000000003E-3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'300i'!$B$8:$B$29</c:f>
              <c:numCache>
                <c:formatCode>0.0000</c:formatCode>
                <c:ptCount val="22"/>
                <c:pt idx="0">
                  <c:v>0</c:v>
                </c:pt>
                <c:pt idx="1">
                  <c:v>4.4940000000000001E-2</c:v>
                </c:pt>
                <c:pt idx="2">
                  <c:v>8.9870000000000005E-2</c:v>
                </c:pt>
                <c:pt idx="3">
                  <c:v>0.13481000000000001</c:v>
                </c:pt>
                <c:pt idx="4">
                  <c:v>0.17974999999999999</c:v>
                </c:pt>
                <c:pt idx="5">
                  <c:v>0.22469</c:v>
                </c:pt>
                <c:pt idx="6">
                  <c:v>0.26962000000000003</c:v>
                </c:pt>
                <c:pt idx="7">
                  <c:v>0.31456000000000001</c:v>
                </c:pt>
                <c:pt idx="8">
                  <c:v>0.35949999999999999</c:v>
                </c:pt>
                <c:pt idx="9">
                  <c:v>0.40444000000000002</c:v>
                </c:pt>
                <c:pt idx="10">
                  <c:v>0.44936999999999999</c:v>
                </c:pt>
                <c:pt idx="11">
                  <c:v>0.49431000000000003</c:v>
                </c:pt>
                <c:pt idx="12">
                  <c:v>0.53925000000000001</c:v>
                </c:pt>
                <c:pt idx="13">
                  <c:v>0.58418999999999999</c:v>
                </c:pt>
                <c:pt idx="14">
                  <c:v>0.62912000000000001</c:v>
                </c:pt>
                <c:pt idx="15">
                  <c:v>0.67405999999999999</c:v>
                </c:pt>
                <c:pt idx="16">
                  <c:v>0.71899999999999997</c:v>
                </c:pt>
                <c:pt idx="17">
                  <c:v>0.76393999999999995</c:v>
                </c:pt>
                <c:pt idx="18">
                  <c:v>0.80886999999999998</c:v>
                </c:pt>
                <c:pt idx="19">
                  <c:v>0.85380999999999996</c:v>
                </c:pt>
                <c:pt idx="20">
                  <c:v>0.89875000000000005</c:v>
                </c:pt>
                <c:pt idx="21">
                  <c:v>0.94369000000000003</c:v>
                </c:pt>
              </c:numCache>
            </c:numRef>
          </c:xVal>
          <c:yVal>
            <c:numRef>
              <c:f>'300i'!$D$8:$D$29</c:f>
              <c:numCache>
                <c:formatCode>0.0000</c:formatCode>
                <c:ptCount val="22"/>
                <c:pt idx="0">
                  <c:v>3.236E-2</c:v>
                </c:pt>
                <c:pt idx="1">
                  <c:v>3.2800000000000003E-2</c:v>
                </c:pt>
                <c:pt idx="2">
                  <c:v>3.3689999999999998E-2</c:v>
                </c:pt>
                <c:pt idx="3">
                  <c:v>3.5110000000000002E-2</c:v>
                </c:pt>
                <c:pt idx="4">
                  <c:v>3.7019999999999997E-2</c:v>
                </c:pt>
                <c:pt idx="5">
                  <c:v>3.9350000000000003E-2</c:v>
                </c:pt>
                <c:pt idx="6">
                  <c:v>4.2000000000000003E-2</c:v>
                </c:pt>
                <c:pt idx="7">
                  <c:v>4.4859999999999997E-2</c:v>
                </c:pt>
                <c:pt idx="8">
                  <c:v>4.786E-2</c:v>
                </c:pt>
                <c:pt idx="9">
                  <c:v>5.0900000000000001E-2</c:v>
                </c:pt>
                <c:pt idx="10">
                  <c:v>5.3929999999999999E-2</c:v>
                </c:pt>
                <c:pt idx="11">
                  <c:v>5.6869999999999997E-2</c:v>
                </c:pt>
                <c:pt idx="12">
                  <c:v>5.9720000000000002E-2</c:v>
                </c:pt>
                <c:pt idx="13">
                  <c:v>5.7729999999999997E-2</c:v>
                </c:pt>
                <c:pt idx="14">
                  <c:v>5.1389999999999998E-2</c:v>
                </c:pt>
                <c:pt idx="15">
                  <c:v>4.4850000000000001E-2</c:v>
                </c:pt>
                <c:pt idx="16">
                  <c:v>3.8120000000000001E-2</c:v>
                </c:pt>
                <c:pt idx="17">
                  <c:v>3.1189999999999999E-2</c:v>
                </c:pt>
                <c:pt idx="18">
                  <c:v>2.402E-2</c:v>
                </c:pt>
                <c:pt idx="19">
                  <c:v>1.66E-2</c:v>
                </c:pt>
                <c:pt idx="20">
                  <c:v>8.9339999999999992E-3</c:v>
                </c:pt>
                <c:pt idx="21">
                  <c:v>6.6419999999999999E-4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9644928"/>
        <c:axId val="-1589636768"/>
      </c:scatterChart>
      <c:valAx>
        <c:axId val="-158964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45472"/>
        <c:crosses val="autoZero"/>
        <c:crossBetween val="midCat"/>
      </c:valAx>
      <c:valAx>
        <c:axId val="-1589645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43296"/>
        <c:crosses val="autoZero"/>
        <c:crossBetween val="midCat"/>
      </c:valAx>
      <c:valAx>
        <c:axId val="-1589636768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44928"/>
        <c:crosses val="max"/>
        <c:crossBetween val="midCat"/>
      </c:valAx>
      <c:valAx>
        <c:axId val="-1589644928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-158963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'300i'!$Y$11:$Y$16</c:f>
              <c:numCache>
                <c:formatCode>0.000</c:formatCode>
                <c:ptCount val="6"/>
                <c:pt idx="0">
                  <c:v>-2.9692407699937999</c:v>
                </c:pt>
                <c:pt idx="1">
                  <c:v>-2.8477320025406856</c:v>
                </c:pt>
                <c:pt idx="2">
                  <c:v>-2.9534575885213545</c:v>
                </c:pt>
                <c:pt idx="3">
                  <c:v>-2.4471568569281055</c:v>
                </c:pt>
                <c:pt idx="4">
                  <c:v>-2.2136230226746982</c:v>
                </c:pt>
                <c:pt idx="5">
                  <c:v>-1.9824007662863925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'300i'!$U$11:$U$16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'300i'!$AB$11:$AB$16</c:f>
              <c:numCache>
                <c:formatCode>0.000</c:formatCode>
                <c:ptCount val="6"/>
                <c:pt idx="0">
                  <c:v>-6.0762095129113485</c:v>
                </c:pt>
                <c:pt idx="1">
                  <c:v>-5.5882625419419325</c:v>
                </c:pt>
                <c:pt idx="2">
                  <c:v>-5.3960777309934347</c:v>
                </c:pt>
                <c:pt idx="3">
                  <c:v>-4.2296294255868805</c:v>
                </c:pt>
                <c:pt idx="4">
                  <c:v>-3.5773316938304092</c:v>
                </c:pt>
                <c:pt idx="5">
                  <c:v>-3.0099745266931177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'300i'!$U$21:$U$26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'300i'!$Y$21:$Y$26</c:f>
              <c:numCache>
                <c:formatCode>General</c:formatCode>
                <c:ptCount val="6"/>
                <c:pt idx="2">
                  <c:v>-2.8153999999999999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'300i'!$U$21:$U$26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'300i'!$AE$21:$AE$26</c:f>
              <c:numCache>
                <c:formatCode>General</c:formatCode>
                <c:ptCount val="6"/>
                <c:pt idx="0">
                  <c:v>-2.5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9638944"/>
        <c:axId val="-1589635680"/>
      </c:scatterChart>
      <c:valAx>
        <c:axId val="-158963894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35680"/>
        <c:crosses val="autoZero"/>
        <c:crossBetween val="midCat"/>
      </c:valAx>
      <c:valAx>
        <c:axId val="-15896356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38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'300i'!$Q$3:$Q$13</c:f>
              <c:numCache>
                <c:formatCode>0.00</c:formatCode>
                <c:ptCount val="1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46.644999999999996</c:v>
                </c:pt>
                <c:pt idx="7">
                  <c:v>40.661000000000001</c:v>
                </c:pt>
                <c:pt idx="8">
                  <c:v>32.002000000000002</c:v>
                </c:pt>
                <c:pt idx="9">
                  <c:v>18.577999999999999</c:v>
                </c:pt>
                <c:pt idx="10">
                  <c:v>10.078999999999999</c:v>
                </c:pt>
              </c:numCache>
            </c:numRef>
          </c:xVal>
          <c:yVal>
            <c:numRef>
              <c:f>'300i'!$P$3:$P$13</c:f>
              <c:numCache>
                <c:formatCode>0.00</c:formatCode>
                <c:ptCount val="11"/>
                <c:pt idx="0">
                  <c:v>21.75</c:v>
                </c:pt>
                <c:pt idx="1">
                  <c:v>35.25</c:v>
                </c:pt>
                <c:pt idx="2">
                  <c:v>48.75</c:v>
                </c:pt>
                <c:pt idx="3">
                  <c:v>62.25</c:v>
                </c:pt>
                <c:pt idx="4">
                  <c:v>75.75</c:v>
                </c:pt>
                <c:pt idx="5">
                  <c:v>89.25</c:v>
                </c:pt>
                <c:pt idx="6">
                  <c:v>102.75</c:v>
                </c:pt>
                <c:pt idx="7">
                  <c:v>116.25</c:v>
                </c:pt>
                <c:pt idx="8">
                  <c:v>129.75</c:v>
                </c:pt>
                <c:pt idx="9">
                  <c:v>143.25</c:v>
                </c:pt>
                <c:pt idx="10">
                  <c:v>150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9634048"/>
        <c:axId val="-1589648736"/>
      </c:scatterChart>
      <c:valAx>
        <c:axId val="-158963404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89648736"/>
        <c:crosses val="autoZero"/>
        <c:crossBetween val="midCat"/>
      </c:valAx>
      <c:valAx>
        <c:axId val="-158964873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8963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'300i'!$C$33:$C$57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'300i'!$D$33:$D$57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'300i'!$E$33:$E$57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'300i'!$F$33:$F$57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'300i'!$G$33:$G$57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'300i'!$H$33:$H$57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9640032"/>
        <c:axId val="-1589648192"/>
      </c:scatterChart>
      <c:valAx>
        <c:axId val="-1589640032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48192"/>
        <c:crosses val="autoZero"/>
        <c:crossBetween val="midCat"/>
      </c:valAx>
      <c:valAx>
        <c:axId val="-158964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4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'320i'!$B$8:$B$30</c:f>
              <c:numCache>
                <c:formatCode>General</c:formatCode>
                <c:ptCount val="23"/>
                <c:pt idx="0">
                  <c:v>0</c:v>
                </c:pt>
                <c:pt idx="1">
                  <c:v>4.3880000000000002E-2</c:v>
                </c:pt>
                <c:pt idx="2">
                  <c:v>8.7770000000000001E-2</c:v>
                </c:pt>
                <c:pt idx="3">
                  <c:v>0.13164999999999999</c:v>
                </c:pt>
                <c:pt idx="4">
                  <c:v>0.17554</c:v>
                </c:pt>
                <c:pt idx="5">
                  <c:v>0.21942</c:v>
                </c:pt>
                <c:pt idx="6">
                  <c:v>0.26330999999999999</c:v>
                </c:pt>
                <c:pt idx="7">
                  <c:v>0.30719000000000002</c:v>
                </c:pt>
                <c:pt idx="8">
                  <c:v>0.35108</c:v>
                </c:pt>
                <c:pt idx="9">
                  <c:v>0.39495999999999998</c:v>
                </c:pt>
                <c:pt idx="10">
                  <c:v>0.43885000000000002</c:v>
                </c:pt>
                <c:pt idx="11">
                  <c:v>0.48272999999999999</c:v>
                </c:pt>
                <c:pt idx="12">
                  <c:v>0.52661999999999998</c:v>
                </c:pt>
                <c:pt idx="13">
                  <c:v>0.57050000000000001</c:v>
                </c:pt>
                <c:pt idx="14">
                  <c:v>0.61438000000000004</c:v>
                </c:pt>
                <c:pt idx="15">
                  <c:v>0.65827000000000002</c:v>
                </c:pt>
                <c:pt idx="16">
                  <c:v>0.70215000000000005</c:v>
                </c:pt>
                <c:pt idx="17">
                  <c:v>0.74604000000000004</c:v>
                </c:pt>
                <c:pt idx="18">
                  <c:v>0.78991999999999996</c:v>
                </c:pt>
                <c:pt idx="19">
                  <c:v>0.83381000000000005</c:v>
                </c:pt>
                <c:pt idx="20">
                  <c:v>0.87768999999999997</c:v>
                </c:pt>
              </c:numCache>
            </c:numRef>
          </c:xVal>
          <c:yVal>
            <c:numRef>
              <c:f>'320i'!$C$8:$C$30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5.6300000000000003E-2</c:v>
                </c:pt>
                <c:pt idx="2">
                  <c:v>0.11890000000000001</c:v>
                </c:pt>
                <c:pt idx="3">
                  <c:v>0.18940000000000001</c:v>
                </c:pt>
                <c:pt idx="4">
                  <c:v>0.2676</c:v>
                </c:pt>
                <c:pt idx="5">
                  <c:v>0.35160000000000002</c:v>
                </c:pt>
                <c:pt idx="6">
                  <c:v>0.43769999999999998</c:v>
                </c:pt>
                <c:pt idx="7">
                  <c:v>0.52159999999999995</c:v>
                </c:pt>
                <c:pt idx="8">
                  <c:v>0.59919999999999995</c:v>
                </c:pt>
                <c:pt idx="9">
                  <c:v>0.66739999999999999</c:v>
                </c:pt>
                <c:pt idx="10">
                  <c:v>0.72470000000000001</c:v>
                </c:pt>
                <c:pt idx="11">
                  <c:v>0.77059999999999995</c:v>
                </c:pt>
                <c:pt idx="12">
                  <c:v>0.80640000000000001</c:v>
                </c:pt>
                <c:pt idx="13">
                  <c:v>0.8599</c:v>
                </c:pt>
                <c:pt idx="14">
                  <c:v>0.87849999999999995</c:v>
                </c:pt>
                <c:pt idx="15">
                  <c:v>0.89359999999999995</c:v>
                </c:pt>
                <c:pt idx="16">
                  <c:v>0.90429999999999999</c:v>
                </c:pt>
                <c:pt idx="17">
                  <c:v>0.90890000000000004</c:v>
                </c:pt>
                <c:pt idx="18">
                  <c:v>0.90090000000000003</c:v>
                </c:pt>
                <c:pt idx="19">
                  <c:v>0.86350000000000005</c:v>
                </c:pt>
                <c:pt idx="20">
                  <c:v>0.72030000000000005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9641664"/>
        <c:axId val="-1589641120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'320i'!$B$8:$B$34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4.3880000000000002E-2</c:v>
                </c:pt>
                <c:pt idx="2">
                  <c:v>8.7770000000000001E-2</c:v>
                </c:pt>
                <c:pt idx="3">
                  <c:v>0.13164999999999999</c:v>
                </c:pt>
                <c:pt idx="4">
                  <c:v>0.17554</c:v>
                </c:pt>
                <c:pt idx="5">
                  <c:v>0.21942</c:v>
                </c:pt>
                <c:pt idx="6">
                  <c:v>0.26330999999999999</c:v>
                </c:pt>
                <c:pt idx="7">
                  <c:v>0.30719000000000002</c:v>
                </c:pt>
                <c:pt idx="8">
                  <c:v>0.35108</c:v>
                </c:pt>
                <c:pt idx="9">
                  <c:v>0.39495999999999998</c:v>
                </c:pt>
                <c:pt idx="10">
                  <c:v>0.43885000000000002</c:v>
                </c:pt>
                <c:pt idx="11">
                  <c:v>0.48272999999999999</c:v>
                </c:pt>
                <c:pt idx="12">
                  <c:v>0.52661999999999998</c:v>
                </c:pt>
                <c:pt idx="13">
                  <c:v>0.57050000000000001</c:v>
                </c:pt>
                <c:pt idx="14">
                  <c:v>0.61438000000000004</c:v>
                </c:pt>
                <c:pt idx="15">
                  <c:v>0.65827000000000002</c:v>
                </c:pt>
                <c:pt idx="16">
                  <c:v>0.70215000000000005</c:v>
                </c:pt>
                <c:pt idx="17">
                  <c:v>0.74604000000000004</c:v>
                </c:pt>
                <c:pt idx="18">
                  <c:v>0.78991999999999996</c:v>
                </c:pt>
                <c:pt idx="19">
                  <c:v>0.83381000000000005</c:v>
                </c:pt>
                <c:pt idx="20">
                  <c:v>0.87768999999999997</c:v>
                </c:pt>
              </c:numCache>
            </c:numRef>
          </c:xVal>
          <c:yVal>
            <c:numRef>
              <c:f>'320i'!$E$8:$E$34</c:f>
              <c:numCache>
                <c:formatCode>0.00E+00</c:formatCode>
                <c:ptCount val="27"/>
                <c:pt idx="0">
                  <c:v>2.3009999999999999E-2</c:v>
                </c:pt>
                <c:pt idx="1">
                  <c:v>2.2280000000000001E-2</c:v>
                </c:pt>
                <c:pt idx="2">
                  <c:v>2.163E-2</c:v>
                </c:pt>
                <c:pt idx="3">
                  <c:v>2.1180000000000001E-2</c:v>
                </c:pt>
                <c:pt idx="4">
                  <c:v>2.1010000000000001E-2</c:v>
                </c:pt>
                <c:pt idx="5">
                  <c:v>2.1190000000000001E-2</c:v>
                </c:pt>
                <c:pt idx="6">
                  <c:v>2.1739999999999999E-2</c:v>
                </c:pt>
                <c:pt idx="7">
                  <c:v>2.2689999999999998E-2</c:v>
                </c:pt>
                <c:pt idx="8">
                  <c:v>2.4039999999999999E-2</c:v>
                </c:pt>
                <c:pt idx="9">
                  <c:v>2.579E-2</c:v>
                </c:pt>
                <c:pt idx="10">
                  <c:v>2.793E-2</c:v>
                </c:pt>
                <c:pt idx="11">
                  <c:v>3.0439999999999998E-2</c:v>
                </c:pt>
                <c:pt idx="12">
                  <c:v>3.3309999999999999E-2</c:v>
                </c:pt>
                <c:pt idx="13">
                  <c:v>3.2849999999999997E-2</c:v>
                </c:pt>
                <c:pt idx="14">
                  <c:v>3.058E-2</c:v>
                </c:pt>
                <c:pt idx="15">
                  <c:v>2.784E-2</c:v>
                </c:pt>
                <c:pt idx="16">
                  <c:v>2.46E-2</c:v>
                </c:pt>
                <c:pt idx="17">
                  <c:v>2.086E-2</c:v>
                </c:pt>
                <c:pt idx="18">
                  <c:v>1.66E-2</c:v>
                </c:pt>
                <c:pt idx="19">
                  <c:v>1.183E-2</c:v>
                </c:pt>
                <c:pt idx="20">
                  <c:v>6.5199999999999998E-3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'320i'!$B$8:$B$34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4.3880000000000002E-2</c:v>
                </c:pt>
                <c:pt idx="2">
                  <c:v>8.7770000000000001E-2</c:v>
                </c:pt>
                <c:pt idx="3">
                  <c:v>0.13164999999999999</c:v>
                </c:pt>
                <c:pt idx="4">
                  <c:v>0.17554</c:v>
                </c:pt>
                <c:pt idx="5">
                  <c:v>0.21942</c:v>
                </c:pt>
                <c:pt idx="6">
                  <c:v>0.26330999999999999</c:v>
                </c:pt>
                <c:pt idx="7">
                  <c:v>0.30719000000000002</c:v>
                </c:pt>
                <c:pt idx="8">
                  <c:v>0.35108</c:v>
                </c:pt>
                <c:pt idx="9">
                  <c:v>0.39495999999999998</c:v>
                </c:pt>
                <c:pt idx="10">
                  <c:v>0.43885000000000002</c:v>
                </c:pt>
                <c:pt idx="11">
                  <c:v>0.48272999999999999</c:v>
                </c:pt>
                <c:pt idx="12">
                  <c:v>0.52661999999999998</c:v>
                </c:pt>
                <c:pt idx="13">
                  <c:v>0.57050000000000001</c:v>
                </c:pt>
                <c:pt idx="14">
                  <c:v>0.61438000000000004</c:v>
                </c:pt>
                <c:pt idx="15">
                  <c:v>0.65827000000000002</c:v>
                </c:pt>
                <c:pt idx="16">
                  <c:v>0.70215000000000005</c:v>
                </c:pt>
                <c:pt idx="17">
                  <c:v>0.74604000000000004</c:v>
                </c:pt>
                <c:pt idx="18">
                  <c:v>0.78991999999999996</c:v>
                </c:pt>
                <c:pt idx="19">
                  <c:v>0.83381000000000005</c:v>
                </c:pt>
                <c:pt idx="20">
                  <c:v>0.87768999999999997</c:v>
                </c:pt>
              </c:numCache>
            </c:numRef>
          </c:xVal>
          <c:yVal>
            <c:numRef>
              <c:f>'320i'!$D$8:$D$34</c:f>
              <c:numCache>
                <c:formatCode>0.00E+00</c:formatCode>
                <c:ptCount val="27"/>
                <c:pt idx="0">
                  <c:v>2.827E-2</c:v>
                </c:pt>
                <c:pt idx="1">
                  <c:v>2.86E-2</c:v>
                </c:pt>
                <c:pt idx="2">
                  <c:v>2.9309999999999999E-2</c:v>
                </c:pt>
                <c:pt idx="3">
                  <c:v>3.0460000000000001E-2</c:v>
                </c:pt>
                <c:pt idx="4">
                  <c:v>3.2030000000000003E-2</c:v>
                </c:pt>
                <c:pt idx="5">
                  <c:v>3.3950000000000001E-2</c:v>
                </c:pt>
                <c:pt idx="6">
                  <c:v>3.6139999999999999E-2</c:v>
                </c:pt>
                <c:pt idx="7">
                  <c:v>3.8519999999999999E-2</c:v>
                </c:pt>
                <c:pt idx="8">
                  <c:v>4.1020000000000001E-2</c:v>
                </c:pt>
                <c:pt idx="9">
                  <c:v>4.3569999999999998E-2</c:v>
                </c:pt>
                <c:pt idx="10">
                  <c:v>4.6109999999999998E-2</c:v>
                </c:pt>
                <c:pt idx="11">
                  <c:v>4.8599999999999997E-2</c:v>
                </c:pt>
                <c:pt idx="12">
                  <c:v>5.101E-2</c:v>
                </c:pt>
                <c:pt idx="13">
                  <c:v>4.9509999999999998E-2</c:v>
                </c:pt>
                <c:pt idx="14">
                  <c:v>4.3729999999999998E-2</c:v>
                </c:pt>
                <c:pt idx="15">
                  <c:v>3.7789999999999997E-2</c:v>
                </c:pt>
                <c:pt idx="16">
                  <c:v>3.1690000000000003E-2</c:v>
                </c:pt>
                <c:pt idx="17">
                  <c:v>2.5409999999999999E-2</c:v>
                </c:pt>
                <c:pt idx="18">
                  <c:v>1.8939999999999999E-2</c:v>
                </c:pt>
                <c:pt idx="19">
                  <c:v>1.225E-2</c:v>
                </c:pt>
                <c:pt idx="20">
                  <c:v>5.3509999999999999E-3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4734688"/>
        <c:axId val="-1589640576"/>
      </c:scatterChart>
      <c:valAx>
        <c:axId val="-158964166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41120"/>
        <c:crosses val="autoZero"/>
        <c:crossBetween val="midCat"/>
      </c:valAx>
      <c:valAx>
        <c:axId val="-15896411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89641664"/>
        <c:crosses val="autoZero"/>
        <c:crossBetween val="midCat"/>
      </c:valAx>
      <c:valAx>
        <c:axId val="-1589640576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34688"/>
        <c:crosses val="max"/>
        <c:crossBetween val="midCat"/>
      </c:valAx>
      <c:valAx>
        <c:axId val="-157473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58964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'320i'!$U$11:$U$16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'320i'!$Y$11:$Y$16</c:f>
              <c:numCache>
                <c:formatCode>0.000</c:formatCode>
                <c:ptCount val="6"/>
                <c:pt idx="0">
                  <c:v>-3.5421812173446594</c:v>
                </c:pt>
                <c:pt idx="1">
                  <c:v>-3.370610777162983</c:v>
                </c:pt>
                <c:pt idx="2">
                  <c:v>-2.8333489760296824</c:v>
                </c:pt>
                <c:pt idx="3">
                  <c:v>-2.8235588789030417</c:v>
                </c:pt>
                <c:pt idx="4">
                  <c:v>-2.517156957383782</c:v>
                </c:pt>
                <c:pt idx="5">
                  <c:v>-2.2223982170742334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'320i'!$U$11:$U$16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'320i'!$AB$11:$AB$16</c:f>
              <c:numCache>
                <c:formatCode>0.000</c:formatCode>
                <c:ptCount val="6"/>
                <c:pt idx="0">
                  <c:v>-7.227611027003463</c:v>
                </c:pt>
                <c:pt idx="1">
                  <c:v>-6.5475658976322721</c:v>
                </c:pt>
                <c:pt idx="2">
                  <c:v>-5.2021627048707861</c:v>
                </c:pt>
                <c:pt idx="3">
                  <c:v>-4.7571623581094507</c:v>
                </c:pt>
                <c:pt idx="4">
                  <c:v>-3.9475765699789824</c:v>
                </c:pt>
                <c:pt idx="5">
                  <c:v>-3.2678591411118241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'320i'!$Y$21:$Y$26</c:f>
              <c:numCache>
                <c:formatCode>General</c:formatCode>
                <c:ptCount val="6"/>
                <c:pt idx="2">
                  <c:v>-2.7965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'320i'!$U$21:$U$26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4723264"/>
        <c:axId val="-1574721088"/>
      </c:scatterChart>
      <c:valAx>
        <c:axId val="-15747232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21088"/>
        <c:crosses val="autoZero"/>
        <c:crossBetween val="midCat"/>
      </c:valAx>
      <c:valAx>
        <c:axId val="-15747210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23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'320i'!$Q$3:$Q$13</c:f>
              <c:numCache>
                <c:formatCode>0.00</c:formatCode>
                <c:ptCount val="11"/>
              </c:numCache>
            </c:numRef>
          </c:xVal>
          <c:yVal>
            <c:numRef>
              <c:f>'320i'!$P$3:$P$13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4731424"/>
        <c:axId val="-1574724896"/>
      </c:scatterChart>
      <c:valAx>
        <c:axId val="-15747314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74724896"/>
        <c:crosses val="autoZero"/>
        <c:crossBetween val="midCat"/>
      </c:valAx>
      <c:valAx>
        <c:axId val="-15747248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7473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4723808"/>
        <c:axId val="-1574726528"/>
      </c:scatterChart>
      <c:valAx>
        <c:axId val="-1574723808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26528"/>
        <c:crosses val="autoZero"/>
        <c:crossBetween val="midCat"/>
      </c:valAx>
      <c:valAx>
        <c:axId val="-15747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2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'340i'!$B$8:$B$30</c:f>
              <c:numCache>
                <c:formatCode>General</c:formatCode>
                <c:ptCount val="23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'340i'!$C$8:$C$30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5.6800000000000003E-2</c:v>
                </c:pt>
                <c:pt idx="2">
                  <c:v>0.1198</c:v>
                </c:pt>
                <c:pt idx="3">
                  <c:v>0.1908</c:v>
                </c:pt>
                <c:pt idx="4">
                  <c:v>0.2697</c:v>
                </c:pt>
                <c:pt idx="5">
                  <c:v>0.35460000000000003</c:v>
                </c:pt>
                <c:pt idx="6">
                  <c:v>0.44180000000000003</c:v>
                </c:pt>
                <c:pt idx="7">
                  <c:v>0.52680000000000005</c:v>
                </c:pt>
                <c:pt idx="8">
                  <c:v>0.60560000000000003</c:v>
                </c:pt>
                <c:pt idx="9">
                  <c:v>0.67500000000000004</c:v>
                </c:pt>
                <c:pt idx="10">
                  <c:v>0.73329999999999995</c:v>
                </c:pt>
                <c:pt idx="11">
                  <c:v>0.78</c:v>
                </c:pt>
                <c:pt idx="12">
                  <c:v>0.81610000000000005</c:v>
                </c:pt>
                <c:pt idx="13">
                  <c:v>0.87029999999999996</c:v>
                </c:pt>
                <c:pt idx="14">
                  <c:v>0.88770000000000004</c:v>
                </c:pt>
                <c:pt idx="15">
                  <c:v>0.90139999999999998</c:v>
                </c:pt>
                <c:pt idx="16">
                  <c:v>0.91049999999999998</c:v>
                </c:pt>
                <c:pt idx="17">
                  <c:v>0.91269999999999996</c:v>
                </c:pt>
                <c:pt idx="18">
                  <c:v>0.89980000000000004</c:v>
                </c:pt>
                <c:pt idx="19">
                  <c:v>0.84899999999999998</c:v>
                </c:pt>
                <c:pt idx="20">
                  <c:v>0.63160000000000005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4731968"/>
        <c:axId val="-1574730336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'340i'!$B$8:$B$34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'340i'!$E$8:$E$34</c:f>
              <c:numCache>
                <c:formatCode>0.00E+00</c:formatCode>
                <c:ptCount val="27"/>
                <c:pt idx="0">
                  <c:v>2.0240000000000001E-2</c:v>
                </c:pt>
                <c:pt idx="1">
                  <c:v>1.959E-2</c:v>
                </c:pt>
                <c:pt idx="2">
                  <c:v>1.9E-2</c:v>
                </c:pt>
                <c:pt idx="3">
                  <c:v>1.8579999999999999E-2</c:v>
                </c:pt>
                <c:pt idx="4">
                  <c:v>1.8409999999999999E-2</c:v>
                </c:pt>
                <c:pt idx="5">
                  <c:v>1.8540000000000001E-2</c:v>
                </c:pt>
                <c:pt idx="6">
                  <c:v>1.9E-2</c:v>
                </c:pt>
                <c:pt idx="7">
                  <c:v>1.9800000000000002E-2</c:v>
                </c:pt>
                <c:pt idx="8">
                  <c:v>2.0959999999999999E-2</c:v>
                </c:pt>
                <c:pt idx="9">
                  <c:v>2.247E-2</c:v>
                </c:pt>
                <c:pt idx="10">
                  <c:v>2.4330000000000001E-2</c:v>
                </c:pt>
                <c:pt idx="11">
                  <c:v>2.6509999999999999E-2</c:v>
                </c:pt>
                <c:pt idx="12">
                  <c:v>2.9010000000000001E-2</c:v>
                </c:pt>
                <c:pt idx="13">
                  <c:v>2.8740000000000002E-2</c:v>
                </c:pt>
                <c:pt idx="14">
                  <c:v>2.665E-2</c:v>
                </c:pt>
                <c:pt idx="15">
                  <c:v>2.4119999999999999E-2</c:v>
                </c:pt>
                <c:pt idx="16">
                  <c:v>2.1139999999999999E-2</c:v>
                </c:pt>
                <c:pt idx="17">
                  <c:v>1.77E-2</c:v>
                </c:pt>
                <c:pt idx="18">
                  <c:v>1.38E-2</c:v>
                </c:pt>
                <c:pt idx="19">
                  <c:v>9.4179999999999993E-3</c:v>
                </c:pt>
                <c:pt idx="20">
                  <c:v>4.5510000000000004E-3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'340i'!$D$8:$D$34</c:f>
              <c:numCache>
                <c:formatCode>0.00E+00</c:formatCode>
                <c:ptCount val="27"/>
                <c:pt idx="0">
                  <c:v>2.5219999999999999E-2</c:v>
                </c:pt>
                <c:pt idx="1">
                  <c:v>2.5489999999999999E-2</c:v>
                </c:pt>
                <c:pt idx="2">
                  <c:v>2.6089999999999999E-2</c:v>
                </c:pt>
                <c:pt idx="3">
                  <c:v>2.708E-2</c:v>
                </c:pt>
                <c:pt idx="4">
                  <c:v>2.844E-2</c:v>
                </c:pt>
                <c:pt idx="5">
                  <c:v>3.0120000000000001E-2</c:v>
                </c:pt>
                <c:pt idx="6">
                  <c:v>3.2050000000000002E-2</c:v>
                </c:pt>
                <c:pt idx="7">
                  <c:v>3.415E-2</c:v>
                </c:pt>
                <c:pt idx="8">
                  <c:v>3.6360000000000003E-2</c:v>
                </c:pt>
                <c:pt idx="9">
                  <c:v>3.8620000000000002E-2</c:v>
                </c:pt>
                <c:pt idx="10">
                  <c:v>4.088E-2</c:v>
                </c:pt>
                <c:pt idx="11">
                  <c:v>4.308E-2</c:v>
                </c:pt>
                <c:pt idx="12">
                  <c:v>4.521E-2</c:v>
                </c:pt>
                <c:pt idx="13">
                  <c:v>4.4089999999999997E-2</c:v>
                </c:pt>
                <c:pt idx="14">
                  <c:v>3.8719999999999997E-2</c:v>
                </c:pt>
                <c:pt idx="15">
                  <c:v>3.322E-2</c:v>
                </c:pt>
                <c:pt idx="16">
                  <c:v>2.7570000000000001E-2</c:v>
                </c:pt>
                <c:pt idx="17">
                  <c:v>2.1780000000000001E-2</c:v>
                </c:pt>
                <c:pt idx="18">
                  <c:v>1.5800000000000002E-2</c:v>
                </c:pt>
                <c:pt idx="19">
                  <c:v>9.6430000000000005E-3</c:v>
                </c:pt>
                <c:pt idx="20">
                  <c:v>3.2929999999999999E-3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4733600"/>
        <c:axId val="-1574727616"/>
      </c:scatterChart>
      <c:valAx>
        <c:axId val="-157473196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30336"/>
        <c:crosses val="autoZero"/>
        <c:crossBetween val="midCat"/>
      </c:valAx>
      <c:valAx>
        <c:axId val="-1574730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31968"/>
        <c:crosses val="autoZero"/>
        <c:crossBetween val="midCat"/>
      </c:valAx>
      <c:valAx>
        <c:axId val="-1574727616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33600"/>
        <c:crosses val="max"/>
        <c:crossBetween val="midCat"/>
      </c:valAx>
      <c:valAx>
        <c:axId val="-157473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57472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'340i'!$Y$11:$Y$16</c:f>
              <c:numCache>
                <c:formatCode>0.000</c:formatCode>
                <c:ptCount val="6"/>
                <c:pt idx="0">
                  <c:v>-3.143801630933678</c:v>
                </c:pt>
                <c:pt idx="1">
                  <c:v>-3.0079128901274181</c:v>
                </c:pt>
                <c:pt idx="2">
                  <c:v>-2.8057827270754312</c:v>
                </c:pt>
                <c:pt idx="3">
                  <c:v>-2.5645150416612972</c:v>
                </c:pt>
                <c:pt idx="4">
                  <c:v>-2.309213372733363</c:v>
                </c:pt>
                <c:pt idx="5">
                  <c:v>-2.0587201942717419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'340i'!$U$11:$U$16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'340i'!$AB$11:$AB$16</c:f>
              <c:numCache>
                <c:formatCode>0.000</c:formatCode>
                <c:ptCount val="6"/>
                <c:pt idx="0">
                  <c:v>-6.4277231862453119</c:v>
                </c:pt>
                <c:pt idx="1">
                  <c:v>-5.8842119147963263</c:v>
                </c:pt>
                <c:pt idx="2">
                  <c:v>-5.1573869201348632</c:v>
                </c:pt>
                <c:pt idx="3">
                  <c:v>-4.3970128189168074</c:v>
                </c:pt>
                <c:pt idx="4">
                  <c:v>-3.6963417457964907</c:v>
                </c:pt>
                <c:pt idx="5">
                  <c:v>-3.0937863832984567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'340i'!$Y$21:$Y$26</c:f>
              <c:numCache>
                <c:formatCode>General</c:formatCode>
                <c:ptCount val="6"/>
                <c:pt idx="2">
                  <c:v>-2.7826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'340i'!$U$21:$U$26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4728704"/>
        <c:axId val="-1574733056"/>
      </c:scatterChart>
      <c:valAx>
        <c:axId val="-15747287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33056"/>
        <c:crosses val="autoZero"/>
        <c:crossBetween val="midCat"/>
      </c:valAx>
      <c:valAx>
        <c:axId val="-157473305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7472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'340i'!$Q$3:$Q$13</c:f>
              <c:numCache>
                <c:formatCode>0.00</c:formatCode>
                <c:ptCount val="11"/>
              </c:numCache>
            </c:numRef>
          </c:xVal>
          <c:yVal>
            <c:numRef>
              <c:f>'340i'!$P$3:$P$13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4735232"/>
        <c:axId val="-1574725984"/>
      </c:scatterChart>
      <c:valAx>
        <c:axId val="-15747352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74725984"/>
        <c:crosses val="autoZero"/>
        <c:crossBetween val="midCat"/>
      </c:valAx>
      <c:valAx>
        <c:axId val="-15747259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7473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081824"/>
        <c:axId val="-1590074208"/>
      </c:scatterChart>
      <c:valAx>
        <c:axId val="-1590081824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74208"/>
        <c:crosses val="autoZero"/>
        <c:crossBetween val="midCat"/>
      </c:valAx>
      <c:valAx>
        <c:axId val="-159007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81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'440'!$B$8:$B$30</c:f>
              <c:numCache>
                <c:formatCode>General</c:formatCode>
                <c:ptCount val="23"/>
                <c:pt idx="0">
                  <c:v>0</c:v>
                </c:pt>
                <c:pt idx="1">
                  <c:v>4.4659999999999998E-2</c:v>
                </c:pt>
                <c:pt idx="2">
                  <c:v>8.931E-2</c:v>
                </c:pt>
                <c:pt idx="3">
                  <c:v>0.13397000000000001</c:v>
                </c:pt>
                <c:pt idx="4">
                  <c:v>0.17863000000000001</c:v>
                </c:pt>
                <c:pt idx="5">
                  <c:v>0.22328000000000001</c:v>
                </c:pt>
                <c:pt idx="6">
                  <c:v>0.26794000000000001</c:v>
                </c:pt>
                <c:pt idx="7">
                  <c:v>0.31258999999999998</c:v>
                </c:pt>
                <c:pt idx="8">
                  <c:v>0.35725000000000001</c:v>
                </c:pt>
                <c:pt idx="9">
                  <c:v>0.40190999999999999</c:v>
                </c:pt>
                <c:pt idx="10">
                  <c:v>0.44656000000000001</c:v>
                </c:pt>
                <c:pt idx="11">
                  <c:v>0.49121999999999999</c:v>
                </c:pt>
                <c:pt idx="12">
                  <c:v>0.53588000000000002</c:v>
                </c:pt>
                <c:pt idx="13">
                  <c:v>0.58052999999999999</c:v>
                </c:pt>
                <c:pt idx="14">
                  <c:v>0.62519000000000002</c:v>
                </c:pt>
                <c:pt idx="15">
                  <c:v>0.66983999999999999</c:v>
                </c:pt>
                <c:pt idx="16">
                  <c:v>0.71450000000000002</c:v>
                </c:pt>
                <c:pt idx="17">
                  <c:v>0.75915999999999995</c:v>
                </c:pt>
                <c:pt idx="18">
                  <c:v>0.80381000000000002</c:v>
                </c:pt>
                <c:pt idx="19">
                  <c:v>0.84846999999999995</c:v>
                </c:pt>
              </c:numCache>
            </c:numRef>
          </c:xVal>
          <c:yVal>
            <c:numRef>
              <c:f>'440'!$C$8:$C$30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5.6800000000000003E-2</c:v>
                </c:pt>
                <c:pt idx="2">
                  <c:v>0.1201</c:v>
                </c:pt>
                <c:pt idx="3">
                  <c:v>0.19189999999999999</c:v>
                </c:pt>
                <c:pt idx="4">
                  <c:v>0.2727</c:v>
                </c:pt>
                <c:pt idx="5">
                  <c:v>0.36049999999999999</c:v>
                </c:pt>
                <c:pt idx="6">
                  <c:v>0.45150000000000001</c:v>
                </c:pt>
                <c:pt idx="7">
                  <c:v>0.54090000000000005</c:v>
                </c:pt>
                <c:pt idx="8">
                  <c:v>0.624</c:v>
                </c:pt>
                <c:pt idx="9">
                  <c:v>0.69730000000000003</c:v>
                </c:pt>
                <c:pt idx="10">
                  <c:v>0.75890000000000002</c:v>
                </c:pt>
                <c:pt idx="11">
                  <c:v>0.80820000000000003</c:v>
                </c:pt>
                <c:pt idx="12">
                  <c:v>0.84619999999999995</c:v>
                </c:pt>
                <c:pt idx="13">
                  <c:v>0.90149999999999997</c:v>
                </c:pt>
                <c:pt idx="14">
                  <c:v>0.91439999999999999</c:v>
                </c:pt>
                <c:pt idx="15">
                  <c:v>0.92300000000000004</c:v>
                </c:pt>
                <c:pt idx="16">
                  <c:v>0.92579999999999996</c:v>
                </c:pt>
                <c:pt idx="17">
                  <c:v>0.91790000000000005</c:v>
                </c:pt>
                <c:pt idx="18">
                  <c:v>0.88280000000000003</c:v>
                </c:pt>
                <c:pt idx="19">
                  <c:v>0.75360000000000005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083456"/>
        <c:axId val="-1590074752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'440'!$B$8:$B$34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4.4659999999999998E-2</c:v>
                </c:pt>
                <c:pt idx="2">
                  <c:v>8.931E-2</c:v>
                </c:pt>
                <c:pt idx="3">
                  <c:v>0.13397000000000001</c:v>
                </c:pt>
                <c:pt idx="4">
                  <c:v>0.17863000000000001</c:v>
                </c:pt>
                <c:pt idx="5">
                  <c:v>0.22328000000000001</c:v>
                </c:pt>
                <c:pt idx="6">
                  <c:v>0.26794000000000001</c:v>
                </c:pt>
                <c:pt idx="7">
                  <c:v>0.31258999999999998</c:v>
                </c:pt>
                <c:pt idx="8">
                  <c:v>0.35725000000000001</c:v>
                </c:pt>
                <c:pt idx="9">
                  <c:v>0.40190999999999999</c:v>
                </c:pt>
                <c:pt idx="10">
                  <c:v>0.44656000000000001</c:v>
                </c:pt>
                <c:pt idx="11">
                  <c:v>0.49121999999999999</c:v>
                </c:pt>
                <c:pt idx="12">
                  <c:v>0.53588000000000002</c:v>
                </c:pt>
                <c:pt idx="13">
                  <c:v>0.58052999999999999</c:v>
                </c:pt>
                <c:pt idx="14">
                  <c:v>0.62519000000000002</c:v>
                </c:pt>
                <c:pt idx="15">
                  <c:v>0.66983999999999999</c:v>
                </c:pt>
                <c:pt idx="16">
                  <c:v>0.71450000000000002</c:v>
                </c:pt>
                <c:pt idx="17">
                  <c:v>0.75915999999999995</c:v>
                </c:pt>
                <c:pt idx="18">
                  <c:v>0.80381000000000002</c:v>
                </c:pt>
                <c:pt idx="19">
                  <c:v>0.84846999999999995</c:v>
                </c:pt>
              </c:numCache>
            </c:numRef>
          </c:xVal>
          <c:yVal>
            <c:numRef>
              <c:f>'440'!$E$8:$E$34</c:f>
              <c:numCache>
                <c:formatCode>0.00E+00</c:formatCode>
                <c:ptCount val="27"/>
                <c:pt idx="0">
                  <c:v>1.316E-2</c:v>
                </c:pt>
                <c:pt idx="1">
                  <c:v>1.2699999999999999E-2</c:v>
                </c:pt>
                <c:pt idx="2">
                  <c:v>1.226E-2</c:v>
                </c:pt>
                <c:pt idx="3">
                  <c:v>1.192E-2</c:v>
                </c:pt>
                <c:pt idx="4">
                  <c:v>1.175E-2</c:v>
                </c:pt>
                <c:pt idx="5">
                  <c:v>1.179E-2</c:v>
                </c:pt>
                <c:pt idx="6">
                  <c:v>1.205E-2</c:v>
                </c:pt>
                <c:pt idx="7">
                  <c:v>1.2540000000000001E-2</c:v>
                </c:pt>
                <c:pt idx="8">
                  <c:v>1.3270000000000001E-2</c:v>
                </c:pt>
                <c:pt idx="9">
                  <c:v>1.423E-2</c:v>
                </c:pt>
                <c:pt idx="10">
                  <c:v>1.542E-2</c:v>
                </c:pt>
                <c:pt idx="11">
                  <c:v>1.6830000000000001E-2</c:v>
                </c:pt>
                <c:pt idx="12">
                  <c:v>1.8450000000000001E-2</c:v>
                </c:pt>
                <c:pt idx="13">
                  <c:v>1.8630000000000001E-2</c:v>
                </c:pt>
                <c:pt idx="14">
                  <c:v>1.7069999999999998E-2</c:v>
                </c:pt>
                <c:pt idx="15">
                  <c:v>1.5180000000000001E-2</c:v>
                </c:pt>
                <c:pt idx="16">
                  <c:v>1.2959999999999999E-2</c:v>
                </c:pt>
                <c:pt idx="17">
                  <c:v>1.04E-2</c:v>
                </c:pt>
                <c:pt idx="18">
                  <c:v>7.4960000000000001E-3</c:v>
                </c:pt>
                <c:pt idx="19">
                  <c:v>4.2500000000000003E-3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'440'!$B$8:$B$34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4.4659999999999998E-2</c:v>
                </c:pt>
                <c:pt idx="2">
                  <c:v>8.931E-2</c:v>
                </c:pt>
                <c:pt idx="3">
                  <c:v>0.13397000000000001</c:v>
                </c:pt>
                <c:pt idx="4">
                  <c:v>0.17863000000000001</c:v>
                </c:pt>
                <c:pt idx="5">
                  <c:v>0.22328000000000001</c:v>
                </c:pt>
                <c:pt idx="6">
                  <c:v>0.26794000000000001</c:v>
                </c:pt>
                <c:pt idx="7">
                  <c:v>0.31258999999999998</c:v>
                </c:pt>
                <c:pt idx="8">
                  <c:v>0.35725000000000001</c:v>
                </c:pt>
                <c:pt idx="9">
                  <c:v>0.40190999999999999</c:v>
                </c:pt>
                <c:pt idx="10">
                  <c:v>0.44656000000000001</c:v>
                </c:pt>
                <c:pt idx="11">
                  <c:v>0.49121999999999999</c:v>
                </c:pt>
                <c:pt idx="12">
                  <c:v>0.53588000000000002</c:v>
                </c:pt>
                <c:pt idx="13">
                  <c:v>0.58052999999999999</c:v>
                </c:pt>
                <c:pt idx="14">
                  <c:v>0.62519000000000002</c:v>
                </c:pt>
                <c:pt idx="15">
                  <c:v>0.66983999999999999</c:v>
                </c:pt>
                <c:pt idx="16">
                  <c:v>0.71450000000000002</c:v>
                </c:pt>
                <c:pt idx="17">
                  <c:v>0.75915999999999995</c:v>
                </c:pt>
                <c:pt idx="18">
                  <c:v>0.80381000000000002</c:v>
                </c:pt>
                <c:pt idx="19">
                  <c:v>0.84846999999999995</c:v>
                </c:pt>
              </c:numCache>
            </c:numRef>
          </c:xVal>
          <c:yVal>
            <c:numRef>
              <c:f>'440'!$D$8:$D$34</c:f>
              <c:numCache>
                <c:formatCode>0.00E+00</c:formatCode>
                <c:ptCount val="27"/>
                <c:pt idx="0">
                  <c:v>1.6070000000000001E-2</c:v>
                </c:pt>
                <c:pt idx="1">
                  <c:v>1.6160000000000001E-2</c:v>
                </c:pt>
                <c:pt idx="2">
                  <c:v>1.6480000000000002E-2</c:v>
                </c:pt>
                <c:pt idx="3">
                  <c:v>1.7080000000000001E-2</c:v>
                </c:pt>
                <c:pt idx="4">
                  <c:v>1.7950000000000001E-2</c:v>
                </c:pt>
                <c:pt idx="5">
                  <c:v>1.9040000000000001E-2</c:v>
                </c:pt>
                <c:pt idx="6">
                  <c:v>2.0310000000000002E-2</c:v>
                </c:pt>
                <c:pt idx="7">
                  <c:v>2.1700000000000001E-2</c:v>
                </c:pt>
                <c:pt idx="8">
                  <c:v>2.3179999999999999E-2</c:v>
                </c:pt>
                <c:pt idx="9">
                  <c:v>2.469E-2</c:v>
                </c:pt>
                <c:pt idx="10">
                  <c:v>2.6210000000000001E-2</c:v>
                </c:pt>
                <c:pt idx="11">
                  <c:v>2.7699999999999999E-2</c:v>
                </c:pt>
                <c:pt idx="12">
                  <c:v>2.9139999999999999E-2</c:v>
                </c:pt>
                <c:pt idx="13">
                  <c:v>2.8930000000000001E-2</c:v>
                </c:pt>
                <c:pt idx="14">
                  <c:v>2.496E-2</c:v>
                </c:pt>
                <c:pt idx="15">
                  <c:v>2.0920000000000001E-2</c:v>
                </c:pt>
                <c:pt idx="16">
                  <c:v>1.6789999999999999E-2</c:v>
                </c:pt>
                <c:pt idx="17">
                  <c:v>1.257E-2</c:v>
                </c:pt>
                <c:pt idx="18">
                  <c:v>8.2330000000000007E-3</c:v>
                </c:pt>
                <c:pt idx="19">
                  <c:v>3.7750000000000001E-3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081280"/>
        <c:axId val="-1590079104"/>
      </c:scatterChart>
      <c:valAx>
        <c:axId val="-159008345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74752"/>
        <c:crosses val="autoZero"/>
        <c:crossBetween val="midCat"/>
      </c:valAx>
      <c:valAx>
        <c:axId val="-159007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83456"/>
        <c:crosses val="autoZero"/>
        <c:crossBetween val="midCat"/>
      </c:valAx>
      <c:valAx>
        <c:axId val="-1590079104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81280"/>
        <c:crosses val="max"/>
        <c:crossBetween val="midCat"/>
      </c:valAx>
      <c:valAx>
        <c:axId val="-1590081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59007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'440'!$U$11:$U$16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'440'!$Y$11:$Y$16</c:f>
              <c:numCache>
                <c:formatCode>0.000</c:formatCode>
                <c:ptCount val="6"/>
                <c:pt idx="0">
                  <c:v>-3.2843595450723901</c:v>
                </c:pt>
                <c:pt idx="1">
                  <c:v>-3.1360681113739535</c:v>
                </c:pt>
                <c:pt idx="2">
                  <c:v>-2.9165908048511096</c:v>
                </c:pt>
                <c:pt idx="3">
                  <c:v>-2.6563270364916285</c:v>
                </c:pt>
                <c:pt idx="4">
                  <c:v>-2.3829299079510657</c:v>
                </c:pt>
                <c:pt idx="5">
                  <c:v>-2.1166645764643297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'440'!$U$11:$U$16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'440'!$AB$11:$AB$16</c:f>
              <c:numCache>
                <c:formatCode>0.000</c:formatCode>
                <c:ptCount val="6"/>
                <c:pt idx="0">
                  <c:v>-6.7101016479757991</c:v>
                </c:pt>
                <c:pt idx="1">
                  <c:v>-6.1189661579684413</c:v>
                </c:pt>
                <c:pt idx="2">
                  <c:v>-5.3355604539350683</c:v>
                </c:pt>
                <c:pt idx="3">
                  <c:v>-4.5245727186764588</c:v>
                </c:pt>
                <c:pt idx="4">
                  <c:v>-3.7849092330110863</c:v>
                </c:pt>
                <c:pt idx="5">
                  <c:v>-3.1546031292958983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'440'!$U$21:$U$26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'440'!$Y$21:$Y$26</c:f>
              <c:numCache>
                <c:formatCode>General</c:formatCode>
                <c:ptCount val="6"/>
                <c:pt idx="2">
                  <c:v>-2.5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'440'!$U$21:$U$26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073664"/>
        <c:axId val="-1590080192"/>
      </c:scatterChart>
      <c:valAx>
        <c:axId val="-1590073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80192"/>
        <c:crosses val="autoZero"/>
        <c:crossBetween val="midCat"/>
      </c:valAx>
      <c:valAx>
        <c:axId val="-15900801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73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'440'!$Q$3:$Q$13</c:f>
              <c:numCache>
                <c:formatCode>0.00</c:formatCode>
                <c:ptCount val="11"/>
              </c:numCache>
            </c:numRef>
          </c:xVal>
          <c:yVal>
            <c:numRef>
              <c:f>'440'!$P$3:$P$13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079648"/>
        <c:axId val="-1590075296"/>
      </c:scatterChart>
      <c:valAx>
        <c:axId val="-159007964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90075296"/>
        <c:crosses val="autoZero"/>
        <c:crossBetween val="midCat"/>
      </c:valAx>
      <c:valAx>
        <c:axId val="-15900752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59007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077472"/>
        <c:axId val="-1590070400"/>
      </c:scatterChart>
      <c:valAx>
        <c:axId val="-1590077472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70400"/>
        <c:crosses val="autoZero"/>
        <c:crossBetween val="midCat"/>
      </c:valAx>
      <c:valAx>
        <c:axId val="-159007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7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'340m'!$B$8:$B$30</c:f>
              <c:numCache>
                <c:formatCode>General</c:formatCode>
                <c:ptCount val="23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'340m'!$C$8:$C$30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5.6300000000000003E-2</c:v>
                </c:pt>
                <c:pt idx="2">
                  <c:v>0.11890000000000001</c:v>
                </c:pt>
                <c:pt idx="3">
                  <c:v>0.18970000000000001</c:v>
                </c:pt>
                <c:pt idx="4">
                  <c:v>0.26869999999999999</c:v>
                </c:pt>
                <c:pt idx="5">
                  <c:v>0.35410000000000003</c:v>
                </c:pt>
                <c:pt idx="6">
                  <c:v>0.44219999999999998</c:v>
                </c:pt>
                <c:pt idx="7">
                  <c:v>0.52829999999999999</c:v>
                </c:pt>
                <c:pt idx="8">
                  <c:v>0.60819999999999996</c:v>
                </c:pt>
                <c:pt idx="9">
                  <c:v>0.67859999999999998</c:v>
                </c:pt>
                <c:pt idx="10">
                  <c:v>0.73770000000000002</c:v>
                </c:pt>
                <c:pt idx="11">
                  <c:v>0.78490000000000004</c:v>
                </c:pt>
                <c:pt idx="12">
                  <c:v>0.8206</c:v>
                </c:pt>
                <c:pt idx="13">
                  <c:v>0.87290000000000001</c:v>
                </c:pt>
                <c:pt idx="14">
                  <c:v>0.8891</c:v>
                </c:pt>
                <c:pt idx="15">
                  <c:v>0.90129999999999999</c:v>
                </c:pt>
                <c:pt idx="16">
                  <c:v>0.90890000000000004</c:v>
                </c:pt>
                <c:pt idx="17">
                  <c:v>0.90920000000000001</c:v>
                </c:pt>
                <c:pt idx="18">
                  <c:v>0.89359999999999995</c:v>
                </c:pt>
                <c:pt idx="19">
                  <c:v>0.83330000000000004</c:v>
                </c:pt>
                <c:pt idx="20">
                  <c:v>0.49469999999999997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069312"/>
        <c:axId val="-1590068768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'340m'!$B$8:$B$34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'340m'!$E$8:$E$34</c:f>
              <c:numCache>
                <c:formatCode>0.00E+00</c:formatCode>
                <c:ptCount val="27"/>
                <c:pt idx="0">
                  <c:v>2.019E-2</c:v>
                </c:pt>
                <c:pt idx="1">
                  <c:v>1.951E-2</c:v>
                </c:pt>
                <c:pt idx="2">
                  <c:v>1.8890000000000001E-2</c:v>
                </c:pt>
                <c:pt idx="3">
                  <c:v>1.8429999999999998E-2</c:v>
                </c:pt>
                <c:pt idx="4">
                  <c:v>1.822E-2</c:v>
                </c:pt>
                <c:pt idx="5">
                  <c:v>1.83E-2</c:v>
                </c:pt>
                <c:pt idx="6">
                  <c:v>1.8720000000000001E-2</c:v>
                </c:pt>
                <c:pt idx="7">
                  <c:v>1.9480000000000001E-2</c:v>
                </c:pt>
                <c:pt idx="8">
                  <c:v>2.0590000000000001E-2</c:v>
                </c:pt>
                <c:pt idx="9">
                  <c:v>2.2040000000000001E-2</c:v>
                </c:pt>
                <c:pt idx="10">
                  <c:v>2.383E-2</c:v>
                </c:pt>
                <c:pt idx="11">
                  <c:v>2.596E-2</c:v>
                </c:pt>
                <c:pt idx="12">
                  <c:v>2.8400000000000002E-2</c:v>
                </c:pt>
                <c:pt idx="13">
                  <c:v>2.8379999999999999E-2</c:v>
                </c:pt>
                <c:pt idx="14">
                  <c:v>2.6200000000000001E-2</c:v>
                </c:pt>
                <c:pt idx="15">
                  <c:v>2.3560000000000001E-2</c:v>
                </c:pt>
                <c:pt idx="16">
                  <c:v>2.044E-2</c:v>
                </c:pt>
                <c:pt idx="17">
                  <c:v>1.685E-2</c:v>
                </c:pt>
                <c:pt idx="18">
                  <c:v>1.2760000000000001E-2</c:v>
                </c:pt>
                <c:pt idx="19">
                  <c:v>8.182E-3</c:v>
                </c:pt>
                <c:pt idx="20">
                  <c:v>3.088E-3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'340m'!$B$8:$B$34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'340m'!$D$8:$D$34</c:f>
              <c:numCache>
                <c:formatCode>0.00E+00</c:formatCode>
                <c:ptCount val="27"/>
                <c:pt idx="0">
                  <c:v>2.4969999999999999E-2</c:v>
                </c:pt>
                <c:pt idx="1">
                  <c:v>2.5180000000000001E-2</c:v>
                </c:pt>
                <c:pt idx="2">
                  <c:v>2.5739999999999999E-2</c:v>
                </c:pt>
                <c:pt idx="3">
                  <c:v>2.6700000000000002E-2</c:v>
                </c:pt>
                <c:pt idx="4">
                  <c:v>2.8039999999999999E-2</c:v>
                </c:pt>
                <c:pt idx="5">
                  <c:v>2.9700000000000001E-2</c:v>
                </c:pt>
                <c:pt idx="6">
                  <c:v>3.1609999999999999E-2</c:v>
                </c:pt>
                <c:pt idx="7">
                  <c:v>3.3680000000000002E-2</c:v>
                </c:pt>
                <c:pt idx="8">
                  <c:v>3.5860000000000003E-2</c:v>
                </c:pt>
                <c:pt idx="9">
                  <c:v>3.8080000000000003E-2</c:v>
                </c:pt>
                <c:pt idx="10">
                  <c:v>4.0289999999999999E-2</c:v>
                </c:pt>
                <c:pt idx="11">
                  <c:v>4.2439999999999999E-2</c:v>
                </c:pt>
                <c:pt idx="12">
                  <c:v>4.4490000000000002E-2</c:v>
                </c:pt>
                <c:pt idx="13">
                  <c:v>4.3659999999999997E-2</c:v>
                </c:pt>
                <c:pt idx="14">
                  <c:v>3.8120000000000001E-2</c:v>
                </c:pt>
                <c:pt idx="15">
                  <c:v>3.243E-2</c:v>
                </c:pt>
                <c:pt idx="16">
                  <c:v>2.6610000000000002E-2</c:v>
                </c:pt>
                <c:pt idx="17">
                  <c:v>2.0650000000000002E-2</c:v>
                </c:pt>
                <c:pt idx="18">
                  <c:v>1.452E-2</c:v>
                </c:pt>
                <c:pt idx="19">
                  <c:v>8.2229999999999994E-3</c:v>
                </c:pt>
                <c:pt idx="20">
                  <c:v>1.75E-3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084000"/>
        <c:axId val="-1590078016"/>
      </c:scatterChart>
      <c:valAx>
        <c:axId val="-15900693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68768"/>
        <c:crosses val="autoZero"/>
        <c:crossBetween val="midCat"/>
      </c:valAx>
      <c:valAx>
        <c:axId val="-1590068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69312"/>
        <c:crosses val="autoZero"/>
        <c:crossBetween val="midCat"/>
      </c:valAx>
      <c:valAx>
        <c:axId val="-1590078016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84000"/>
        <c:crosses val="max"/>
        <c:crossBetween val="midCat"/>
      </c:valAx>
      <c:valAx>
        <c:axId val="-1590084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59007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'340m'!$U$11:$U$16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'340m'!$Y$11:$Y$16</c:f>
              <c:numCache>
                <c:formatCode>0.000</c:formatCode>
                <c:ptCount val="6"/>
                <c:pt idx="0">
                  <c:v>-3.0256587308604188</c:v>
                </c:pt>
                <c:pt idx="1">
                  <c:v>-2.8948766385679159</c:v>
                </c:pt>
                <c:pt idx="2">
                  <c:v>-2.7003424521259896</c:v>
                </c:pt>
                <c:pt idx="3">
                  <c:v>-2.4681415169063716</c:v>
                </c:pt>
                <c:pt idx="4">
                  <c:v>-2.222433990071853</c:v>
                </c:pt>
                <c:pt idx="5">
                  <c:v>-1.9813542524141403</c:v>
                </c:pt>
              </c:numCache>
            </c:numRef>
          </c:yVal>
          <c:smooth val="1"/>
        </c:ser>
        <c:ser>
          <c:idx val="2"/>
          <c:order val="1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'340m'!$U$21:$U$26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'340m'!$X$21:$X$26</c:f>
              <c:numCache>
                <c:formatCode>General</c:formatCode>
                <c:ptCount val="6"/>
                <c:pt idx="0">
                  <c:v>-2.2355999999999998</c:v>
                </c:pt>
                <c:pt idx="1">
                  <c:v>-2.2395999999999998</c:v>
                </c:pt>
                <c:pt idx="2">
                  <c:v>-2.7826</c:v>
                </c:pt>
                <c:pt idx="3">
                  <c:v>-2.9142000000000001</c:v>
                </c:pt>
                <c:pt idx="4">
                  <c:v>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076384"/>
        <c:axId val="-1277758000"/>
      </c:scatterChart>
      <c:valAx>
        <c:axId val="-159007638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58000"/>
        <c:crosses val="autoZero"/>
        <c:crossBetween val="midCat"/>
      </c:valAx>
      <c:valAx>
        <c:axId val="-127775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90076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'340m'!$Q$3:$Q$13</c:f>
              <c:numCache>
                <c:formatCode>0.00</c:formatCode>
                <c:ptCount val="11"/>
              </c:numCache>
            </c:numRef>
          </c:xVal>
          <c:yVal>
            <c:numRef>
              <c:f>'340m'!$P$3:$P$13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58544"/>
        <c:axId val="-1277766704"/>
      </c:scatterChart>
      <c:valAx>
        <c:axId val="-127775854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277766704"/>
        <c:crosses val="autoZero"/>
        <c:crossBetween val="midCat"/>
      </c:valAx>
      <c:valAx>
        <c:axId val="-12777667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277758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50384"/>
        <c:axId val="-1277740048"/>
      </c:scatterChart>
      <c:valAx>
        <c:axId val="-1277750384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40048"/>
        <c:crosses val="autoZero"/>
        <c:crossBetween val="midCat"/>
      </c:valAx>
      <c:valAx>
        <c:axId val="-12777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5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- Propeller</a:t>
            </a:r>
            <a:r>
              <a:rPr lang="pt-BR" baseline="0"/>
              <a:t>s @ 250W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4492563429573"/>
          <c:y val="0.17171296296296296"/>
          <c:w val="0.82428018372703427"/>
          <c:h val="0.62618729950422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Sizes!$C$19</c:f>
              <c:strCache>
                <c:ptCount val="1"/>
                <c:pt idx="0">
                  <c:v>280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Sizes!$C$20:$C$31</c:f>
              <c:numCache>
                <c:formatCode>0.00</c:formatCode>
                <c:ptCount val="12"/>
                <c:pt idx="0">
                  <c:v>47.80937057763763</c:v>
                </c:pt>
                <c:pt idx="1">
                  <c:v>52.431791361128319</c:v>
                </c:pt>
                <c:pt idx="2">
                  <c:v>57.831988817479925</c:v>
                </c:pt>
                <c:pt idx="3">
                  <c:v>62.356687831468754</c:v>
                </c:pt>
                <c:pt idx="4">
                  <c:v>63.999834926291776</c:v>
                </c:pt>
                <c:pt idx="5">
                  <c:v>61.939789175609683</c:v>
                </c:pt>
                <c:pt idx="6">
                  <c:v>57.532789339979985</c:v>
                </c:pt>
                <c:pt idx="7">
                  <c:v>52.332073044709013</c:v>
                </c:pt>
                <c:pt idx="8">
                  <c:v>47.138362995378301</c:v>
                </c:pt>
                <c:pt idx="9">
                  <c:v>42.270785090769927</c:v>
                </c:pt>
                <c:pt idx="10">
                  <c:v>37.833635518984003</c:v>
                </c:pt>
                <c:pt idx="11">
                  <c:v>33.843913896063874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Sizes!$D$19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Sizes!$D$20:$D$31</c:f>
              <c:numCache>
                <c:formatCode>0.00</c:formatCode>
                <c:ptCount val="12"/>
                <c:pt idx="0">
                  <c:v>47.653635939738315</c:v>
                </c:pt>
                <c:pt idx="1">
                  <c:v>52.414700523949676</c:v>
                </c:pt>
                <c:pt idx="2">
                  <c:v>58.124374133044419</c:v>
                </c:pt>
                <c:pt idx="3">
                  <c:v>62.985483249763732</c:v>
                </c:pt>
                <c:pt idx="4">
                  <c:v>64.802906698627979</c:v>
                </c:pt>
                <c:pt idx="5">
                  <c:v>62.716855123851715</c:v>
                </c:pt>
                <c:pt idx="6">
                  <c:v>58.243404044184786</c:v>
                </c:pt>
                <c:pt idx="7">
                  <c:v>52.986057409538198</c:v>
                </c:pt>
                <c:pt idx="8">
                  <c:v>47.72013580980137</c:v>
                </c:pt>
                <c:pt idx="9">
                  <c:v>42.737664308950684</c:v>
                </c:pt>
                <c:pt idx="10">
                  <c:v>38.1251145092819</c:v>
                </c:pt>
                <c:pt idx="11">
                  <c:v>33.887638200090649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Sizes!$E$19</c:f>
              <c:strCache>
                <c:ptCount val="1"/>
                <c:pt idx="0">
                  <c:v>320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Sizes!$E$20:$E$31</c:f>
              <c:numCache>
                <c:formatCode>0.00</c:formatCode>
                <c:ptCount val="12"/>
                <c:pt idx="0">
                  <c:v>49.324855353305502</c:v>
                </c:pt>
                <c:pt idx="1">
                  <c:v>53.69420936122085</c:v>
                </c:pt>
                <c:pt idx="2">
                  <c:v>58.978800551331055</c:v>
                </c:pt>
                <c:pt idx="3">
                  <c:v>63.8829047215998</c:v>
                </c:pt>
                <c:pt idx="4">
                  <c:v>66.086656976667456</c:v>
                </c:pt>
                <c:pt idx="5">
                  <c:v>64.040042829706323</c:v>
                </c:pt>
                <c:pt idx="6">
                  <c:v>59.194597886704486</c:v>
                </c:pt>
                <c:pt idx="7">
                  <c:v>53.4543310845294</c:v>
                </c:pt>
                <c:pt idx="8">
                  <c:v>47.769639781110925</c:v>
                </c:pt>
                <c:pt idx="9">
                  <c:v>42.509922602915665</c:v>
                </c:pt>
                <c:pt idx="10">
                  <c:v>37.799097309438494</c:v>
                </c:pt>
                <c:pt idx="11">
                  <c:v>33.666648391074794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Sizes!$F$19</c:f>
              <c:strCache>
                <c:ptCount val="1"/>
                <c:pt idx="0">
                  <c:v>340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Sizes!$F$20:$F$31</c:f>
              <c:numCache>
                <c:formatCode>0.00</c:formatCode>
                <c:ptCount val="12"/>
                <c:pt idx="0">
                  <c:v>49.887823032606505</c:v>
                </c:pt>
                <c:pt idx="1">
                  <c:v>54.237472028280649</c:v>
                </c:pt>
                <c:pt idx="2">
                  <c:v>59.562721701750014</c:v>
                </c:pt>
                <c:pt idx="3">
                  <c:v>64.586073582837386</c:v>
                </c:pt>
                <c:pt idx="4">
                  <c:v>66.897899254675494</c:v>
                </c:pt>
                <c:pt idx="5">
                  <c:v>64.811631384252536</c:v>
                </c:pt>
                <c:pt idx="6">
                  <c:v>59.829393249126333</c:v>
                </c:pt>
                <c:pt idx="7">
                  <c:v>53.93619929801477</c:v>
                </c:pt>
                <c:pt idx="8">
                  <c:v>48.107730778186927</c:v>
                </c:pt>
                <c:pt idx="9">
                  <c:v>42.713853776844537</c:v>
                </c:pt>
                <c:pt idx="10">
                  <c:v>37.869916066718211</c:v>
                </c:pt>
                <c:pt idx="11">
                  <c:v>33.592388418215542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67248"/>
        <c:axId val="-1277757456"/>
      </c:scatterChart>
      <c:valAx>
        <c:axId val="-1277767248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V_Nemo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57456"/>
        <c:crosses val="autoZero"/>
        <c:crossBetween val="midCat"/>
      </c:valAx>
      <c:valAx>
        <c:axId val="-1277757456"/>
        <c:scaling>
          <c:orientation val="minMax"/>
          <c:max val="7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@ 250W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6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6870631096486062"/>
          <c:y val="0.17887729725005364"/>
          <c:w val="8.7033728992831114E-2"/>
          <c:h val="0.36107519685039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- Propeller</a:t>
            </a:r>
            <a:r>
              <a:rPr lang="pt-BR" baseline="0"/>
              <a:t>s @ 325W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4492563429573"/>
          <c:y val="0.17171296296296296"/>
          <c:w val="0.82428018372703427"/>
          <c:h val="0.62618729950422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Sizes!$I$19</c:f>
              <c:strCache>
                <c:ptCount val="1"/>
                <c:pt idx="0">
                  <c:v>280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Sizes!$I$20:$I$31</c:f>
              <c:numCache>
                <c:formatCode>0.00</c:formatCode>
                <c:ptCount val="12"/>
                <c:pt idx="0">
                  <c:v>56.57341897214279</c:v>
                </c:pt>
                <c:pt idx="1">
                  <c:v>61.423479556333767</c:v>
                </c:pt>
                <c:pt idx="2">
                  <c:v>67.278970898058091</c:v>
                </c:pt>
                <c:pt idx="3">
                  <c:v>72.735478723830937</c:v>
                </c:pt>
                <c:pt idx="4">
                  <c:v>75.960685614556724</c:v>
                </c:pt>
                <c:pt idx="5">
                  <c:v>75.501711918010315</c:v>
                </c:pt>
                <c:pt idx="6">
                  <c:v>71.819769130043127</c:v>
                </c:pt>
                <c:pt idx="7">
                  <c:v>66.525966678892843</c:v>
                </c:pt>
                <c:pt idx="8">
                  <c:v>60.788761428085671</c:v>
                </c:pt>
                <c:pt idx="9">
                  <c:v>55.173827687026538</c:v>
                </c:pt>
                <c:pt idx="10">
                  <c:v>49.914236228117694</c:v>
                </c:pt>
                <c:pt idx="11">
                  <c:v>45.089558656165487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Sizes!$J$19</c:f>
              <c:strCache>
                <c:ptCount val="1"/>
                <c:pt idx="0">
                  <c:v>300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Sizes!$J$20:$J$31</c:f>
              <c:numCache>
                <c:formatCode>0.00</c:formatCode>
                <c:ptCount val="12"/>
                <c:pt idx="0">
                  <c:v>56.387806406143888</c:v>
                </c:pt>
                <c:pt idx="1">
                  <c:v>61.357542253760123</c:v>
                </c:pt>
                <c:pt idx="2">
                  <c:v>67.523860903049169</c:v>
                </c:pt>
                <c:pt idx="3">
                  <c:v>73.360279397271739</c:v>
                </c:pt>
                <c:pt idx="4">
                  <c:v>76.865826421638914</c:v>
                </c:pt>
                <c:pt idx="5">
                  <c:v>76.46053162795387</c:v>
                </c:pt>
                <c:pt idx="6">
                  <c:v>72.711046595092981</c:v>
                </c:pt>
                <c:pt idx="7">
                  <c:v>67.349810643603263</c:v>
                </c:pt>
                <c:pt idx="8">
                  <c:v>61.549720090006289</c:v>
                </c:pt>
                <c:pt idx="9">
                  <c:v>55.848691271279797</c:v>
                </c:pt>
                <c:pt idx="10">
                  <c:v>50.456709079799957</c:v>
                </c:pt>
                <c:pt idx="11">
                  <c:v>45.437912767504038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Sizes!$K$19</c:f>
              <c:strCache>
                <c:ptCount val="1"/>
                <c:pt idx="0">
                  <c:v>320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Sizes!$K$20:$K$31</c:f>
              <c:numCache>
                <c:formatCode>0.00</c:formatCode>
                <c:ptCount val="12"/>
                <c:pt idx="0">
                  <c:v>58.380695421295528</c:v>
                </c:pt>
                <c:pt idx="1">
                  <c:v>62.987140683106745</c:v>
                </c:pt>
                <c:pt idx="2">
                  <c:v>68.630349771590403</c:v>
                </c:pt>
                <c:pt idx="3">
                  <c:v>74.337727381899256</c:v>
                </c:pt>
                <c:pt idx="4">
                  <c:v>78.206631889446015</c:v>
                </c:pt>
                <c:pt idx="5">
                  <c:v>78.094366042166499</c:v>
                </c:pt>
                <c:pt idx="6">
                  <c:v>74.140871538719153</c:v>
                </c:pt>
                <c:pt idx="7">
                  <c:v>68.293869116168622</c:v>
                </c:pt>
                <c:pt idx="8">
                  <c:v>61.972696907612232</c:v>
                </c:pt>
                <c:pt idx="9">
                  <c:v>55.840959056442166</c:v>
                </c:pt>
                <c:pt idx="10">
                  <c:v>50.168033228918411</c:v>
                </c:pt>
                <c:pt idx="11">
                  <c:v>45.049634064612071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Sizes!$L$19</c:f>
              <c:strCache>
                <c:ptCount val="1"/>
                <c:pt idx="0">
                  <c:v>340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Sizes!$L$20:$L$31</c:f>
              <c:numCache>
                <c:formatCode>0.00</c:formatCode>
                <c:ptCount val="12"/>
                <c:pt idx="0">
                  <c:v>59.053257370268078</c:v>
                </c:pt>
                <c:pt idx="1">
                  <c:v>63.635144439752757</c:v>
                </c:pt>
                <c:pt idx="2">
                  <c:v>69.304124398874123</c:v>
                </c:pt>
                <c:pt idx="3">
                  <c:v>75.120326208425141</c:v>
                </c:pt>
                <c:pt idx="4">
                  <c:v>79.134298979459615</c:v>
                </c:pt>
                <c:pt idx="5">
                  <c:v>79.060230919958684</c:v>
                </c:pt>
                <c:pt idx="6">
                  <c:v>74.999362343522932</c:v>
                </c:pt>
                <c:pt idx="7">
                  <c:v>68.989603400566637</c:v>
                </c:pt>
                <c:pt idx="8">
                  <c:v>62.503159502867398</c:v>
                </c:pt>
                <c:pt idx="9">
                  <c:v>56.217097134445311</c:v>
                </c:pt>
                <c:pt idx="10">
                  <c:v>50.3985749905966</c:v>
                </c:pt>
                <c:pt idx="11">
                  <c:v>45.134790067955223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68336"/>
        <c:axId val="-1277756368"/>
      </c:scatterChart>
      <c:valAx>
        <c:axId val="-1277768336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V_Nemo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56368"/>
        <c:crosses val="autoZero"/>
        <c:crossBetween val="midCat"/>
      </c:valAx>
      <c:valAx>
        <c:axId val="-1277756368"/>
        <c:scaling>
          <c:orientation val="minMax"/>
          <c:max val="80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@ 325W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6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712270632837561"/>
          <c:y val="0.17887729725005364"/>
          <c:w val="8.4513035870516187E-2"/>
          <c:h val="0.36107519685039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- Propeller</a:t>
            </a:r>
            <a:r>
              <a:rPr lang="pt-BR" baseline="0"/>
              <a:t>s @ 650W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4492563429573"/>
          <c:y val="0.17171296296296296"/>
          <c:w val="0.82428018372703427"/>
          <c:h val="0.62618729950422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Sizes!$O$19</c:f>
              <c:strCache>
                <c:ptCount val="1"/>
                <c:pt idx="0">
                  <c:v>280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Sizes!$O$20:$O$31</c:f>
              <c:numCache>
                <c:formatCode>0.00</c:formatCode>
                <c:ptCount val="12"/>
                <c:pt idx="0">
                  <c:v>88.559421599490548</c:v>
                </c:pt>
                <c:pt idx="1">
                  <c:v>94.033656241569247</c:v>
                </c:pt>
                <c:pt idx="2">
                  <c:v>100.96170395649122</c:v>
                </c:pt>
                <c:pt idx="3">
                  <c:v>108.4334817696806</c:v>
                </c:pt>
                <c:pt idx="4">
                  <c:v>115.22527551761692</c:v>
                </c:pt>
                <c:pt idx="5">
                  <c:v>119.84246103307832</c:v>
                </c:pt>
                <c:pt idx="6">
                  <c:v>120.93164809007172</c:v>
                </c:pt>
                <c:pt idx="7">
                  <c:v>118.2616709916708</c:v>
                </c:pt>
                <c:pt idx="8">
                  <c:v>112.90348277331664</c:v>
                </c:pt>
                <c:pt idx="9">
                  <c:v>106.16716374923377</c:v>
                </c:pt>
                <c:pt idx="10">
                  <c:v>98.954234470961325</c:v>
                </c:pt>
                <c:pt idx="11">
                  <c:v>91.766254030151359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Sizes!$P$19</c:f>
              <c:strCache>
                <c:ptCount val="1"/>
                <c:pt idx="0">
                  <c:v>300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Sizes!$P$20:$P$31</c:f>
              <c:numCache>
                <c:formatCode>0.00</c:formatCode>
                <c:ptCount val="12"/>
                <c:pt idx="0">
                  <c:v>88.279039295399116</c:v>
                </c:pt>
                <c:pt idx="1">
                  <c:v>93.804118935871557</c:v>
                </c:pt>
                <c:pt idx="2">
                  <c:v>101.01870486142157</c:v>
                </c:pt>
                <c:pt idx="3">
                  <c:v>108.92615744292358</c:v>
                </c:pt>
                <c:pt idx="4">
                  <c:v>116.19888744322574</c:v>
                </c:pt>
                <c:pt idx="5">
                  <c:v>121.20353419705425</c:v>
                </c:pt>
                <c:pt idx="6">
                  <c:v>122.45736548033075</c:v>
                </c:pt>
                <c:pt idx="7">
                  <c:v>119.75340083562055</c:v>
                </c:pt>
                <c:pt idx="8">
                  <c:v>114.30140382347055</c:v>
                </c:pt>
                <c:pt idx="9">
                  <c:v>107.48104843738105</c:v>
                </c:pt>
                <c:pt idx="10">
                  <c:v>100.1908429804372</c:v>
                </c:pt>
                <c:pt idx="11">
                  <c:v>92.909841475242899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Sizes!$Q$19</c:f>
              <c:strCache>
                <c:ptCount val="1"/>
                <c:pt idx="0">
                  <c:v>320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Sizes!$Q$20:$Q$31</c:f>
              <c:numCache>
                <c:formatCode>0.00</c:formatCode>
                <c:ptCount val="12"/>
                <c:pt idx="0">
                  <c:v>91.386930674592179</c:v>
                </c:pt>
                <c:pt idx="1">
                  <c:v>96.734842898135383</c:v>
                </c:pt>
                <c:pt idx="2">
                  <c:v>103.25705540679823</c:v>
                </c:pt>
                <c:pt idx="3">
                  <c:v>110.58624491471575</c:v>
                </c:pt>
                <c:pt idx="4">
                  <c:v>117.74326118193953</c:v>
                </c:pt>
                <c:pt idx="5">
                  <c:v>123.15690138711764</c:v>
                </c:pt>
                <c:pt idx="6">
                  <c:v>124.93345152710222</c:v>
                </c:pt>
                <c:pt idx="7">
                  <c:v>122.31646434316978</c:v>
                </c:pt>
                <c:pt idx="8">
                  <c:v>116.47654139779831</c:v>
                </c:pt>
                <c:pt idx="9">
                  <c:v>109.03284167176257</c:v>
                </c:pt>
                <c:pt idx="10">
                  <c:v>101.07661771774819</c:v>
                </c:pt>
                <c:pt idx="11">
                  <c:v>93.197349954723393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Sizes!$R$19</c:f>
              <c:strCache>
                <c:ptCount val="1"/>
                <c:pt idx="0">
                  <c:v>340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Sizes!$R$20:$R$31</c:f>
              <c:numCache>
                <c:formatCode>0.00</c:formatCode>
                <c:ptCount val="12"/>
                <c:pt idx="0">
                  <c:v>92.458072274802419</c:v>
                </c:pt>
                <c:pt idx="1">
                  <c:v>97.776815619741868</c:v>
                </c:pt>
                <c:pt idx="2">
                  <c:v>104.28673363652473</c:v>
                </c:pt>
                <c:pt idx="3">
                  <c:v>111.67660131165613</c:v>
                </c:pt>
                <c:pt idx="4">
                  <c:v>118.97839427366785</c:v>
                </c:pt>
                <c:pt idx="5">
                  <c:v>124.58054067843071</c:v>
                </c:pt>
                <c:pt idx="6">
                  <c:v>126.47340224407223</c:v>
                </c:pt>
                <c:pt idx="7">
                  <c:v>123.80935626648608</c:v>
                </c:pt>
                <c:pt idx="8">
                  <c:v>117.80470875281537</c:v>
                </c:pt>
                <c:pt idx="9">
                  <c:v>110.15409625759604</c:v>
                </c:pt>
                <c:pt idx="10">
                  <c:v>101.98785473993017</c:v>
                </c:pt>
                <c:pt idx="11">
                  <c:v>93.908666138442655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49840"/>
        <c:axId val="-1277760720"/>
      </c:scatterChart>
      <c:valAx>
        <c:axId val="-1277749840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V_Nemo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60720"/>
        <c:crosses val="autoZero"/>
        <c:crossBetween val="midCat"/>
      </c:valAx>
      <c:valAx>
        <c:axId val="-12777607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@ 650W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49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7715298920968199"/>
          <c:y val="0.17887729725005364"/>
          <c:w val="7.8587109944590255E-2"/>
          <c:h val="0.3710751968503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Prop Load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load!$A$5:$A$29</c:f>
              <c:numCache>
                <c:formatCode>General</c:formatCode>
                <c:ptCount val="25"/>
                <c:pt idx="0">
                  <c:v>2.5700000000000001E-2</c:v>
                </c:pt>
                <c:pt idx="1">
                  <c:v>3.1600000000000003E-2</c:v>
                </c:pt>
                <c:pt idx="2">
                  <c:v>3.7499999999999999E-2</c:v>
                </c:pt>
                <c:pt idx="3">
                  <c:v>4.3400000000000001E-2</c:v>
                </c:pt>
                <c:pt idx="4">
                  <c:v>4.9299999999999997E-2</c:v>
                </c:pt>
                <c:pt idx="5">
                  <c:v>5.5100000000000003E-2</c:v>
                </c:pt>
                <c:pt idx="6">
                  <c:v>6.0999999999999999E-2</c:v>
                </c:pt>
                <c:pt idx="7">
                  <c:v>6.6900000000000001E-2</c:v>
                </c:pt>
                <c:pt idx="8">
                  <c:v>7.2800000000000004E-2</c:v>
                </c:pt>
                <c:pt idx="9">
                  <c:v>7.8700000000000006E-2</c:v>
                </c:pt>
                <c:pt idx="10">
                  <c:v>8.4599999999999995E-2</c:v>
                </c:pt>
                <c:pt idx="11">
                  <c:v>9.0499999999999997E-2</c:v>
                </c:pt>
                <c:pt idx="12">
                  <c:v>9.64E-2</c:v>
                </c:pt>
                <c:pt idx="13">
                  <c:v>0.1023</c:v>
                </c:pt>
                <c:pt idx="14">
                  <c:v>0.1082</c:v>
                </c:pt>
                <c:pt idx="15">
                  <c:v>0.114</c:v>
                </c:pt>
                <c:pt idx="16">
                  <c:v>0.11990000000000001</c:v>
                </c:pt>
                <c:pt idx="17">
                  <c:v>0.1258</c:v>
                </c:pt>
                <c:pt idx="18">
                  <c:v>0.13170000000000001</c:v>
                </c:pt>
                <c:pt idx="19">
                  <c:v>0.1376</c:v>
                </c:pt>
                <c:pt idx="20">
                  <c:v>0.14349999999999999</c:v>
                </c:pt>
                <c:pt idx="21">
                  <c:v>0.14940000000000001</c:v>
                </c:pt>
                <c:pt idx="22">
                  <c:v>0.15529999999999999</c:v>
                </c:pt>
                <c:pt idx="23">
                  <c:v>0.16120000000000001</c:v>
                </c:pt>
                <c:pt idx="24">
                  <c:v>0.1671</c:v>
                </c:pt>
              </c:numCache>
            </c:numRef>
          </c:xVal>
          <c:yVal>
            <c:numRef>
              <c:f>load!$H$5:$H$29</c:f>
              <c:numCache>
                <c:formatCode>General</c:formatCode>
                <c:ptCount val="25"/>
                <c:pt idx="0">
                  <c:v>0.51124950464261021</c:v>
                </c:pt>
                <c:pt idx="1">
                  <c:v>0.56242241898496603</c:v>
                </c:pt>
                <c:pt idx="2">
                  <c:v>0.61950681807757912</c:v>
                </c:pt>
                <c:pt idx="3">
                  <c:v>0.68777132714293121</c:v>
                </c:pt>
                <c:pt idx="4">
                  <c:v>0.76691285138223353</c:v>
                </c:pt>
                <c:pt idx="5">
                  <c:v>0.86246002215964279</c:v>
                </c:pt>
                <c:pt idx="6">
                  <c:v>0.97970549491631886</c:v>
                </c:pt>
                <c:pt idx="7">
                  <c:v>1.1063190875409814</c:v>
                </c:pt>
                <c:pt idx="8">
                  <c:v>1.2346558397542342</c:v>
                </c:pt>
                <c:pt idx="9">
                  <c:v>1.3561677592868224</c:v>
                </c:pt>
                <c:pt idx="10">
                  <c:v>1.4779381159809539</c:v>
                </c:pt>
                <c:pt idx="11">
                  <c:v>1.5968291477539232</c:v>
                </c:pt>
                <c:pt idx="12">
                  <c:v>1.7056683617909723</c:v>
                </c:pt>
                <c:pt idx="13">
                  <c:v>1.8103273842486536</c:v>
                </c:pt>
                <c:pt idx="14">
                  <c:v>1.9032986348802252</c:v>
                </c:pt>
                <c:pt idx="15">
                  <c:v>1.9784507836490024</c:v>
                </c:pt>
                <c:pt idx="16">
                  <c:v>2.0363097590176471</c:v>
                </c:pt>
                <c:pt idx="17">
                  <c:v>2.0761794770491901</c:v>
                </c:pt>
                <c:pt idx="18">
                  <c:v>2.0877029763086039</c:v>
                </c:pt>
                <c:pt idx="19">
                  <c:v>2.0732570216441863</c:v>
                </c:pt>
                <c:pt idx="20">
                  <c:v>2.0126712154088926</c:v>
                </c:pt>
                <c:pt idx="21">
                  <c:v>1.8814307131703614</c:v>
                </c:pt>
                <c:pt idx="22">
                  <c:v>1.6775227333069189</c:v>
                </c:pt>
                <c:pt idx="23">
                  <c:v>1.3906960733509452</c:v>
                </c:pt>
                <c:pt idx="24">
                  <c:v>1.0111336033446197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48752"/>
        <c:axId val="-1277746576"/>
      </c:scatterChart>
      <c:valAx>
        <c:axId val="-127774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46576"/>
        <c:crosses val="autoZero"/>
        <c:crossBetween val="midCat"/>
      </c:valAx>
      <c:valAx>
        <c:axId val="-127774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4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tx>
            <c:v>Eff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'400'!$B$8:$B$29</c:f>
              <c:numCache>
                <c:formatCode>0.0000</c:formatCode>
                <c:ptCount val="22"/>
                <c:pt idx="0">
                  <c:v>0</c:v>
                </c:pt>
                <c:pt idx="1">
                  <c:v>3.1800000000000002E-2</c:v>
                </c:pt>
                <c:pt idx="2">
                  <c:v>6.3589999999999994E-2</c:v>
                </c:pt>
                <c:pt idx="3">
                  <c:v>9.5390000000000003E-2</c:v>
                </c:pt>
                <c:pt idx="4">
                  <c:v>0.12719</c:v>
                </c:pt>
                <c:pt idx="5">
                  <c:v>0.15898999999999999</c:v>
                </c:pt>
                <c:pt idx="6">
                  <c:v>0.19078000000000001</c:v>
                </c:pt>
                <c:pt idx="7">
                  <c:v>0.22258</c:v>
                </c:pt>
                <c:pt idx="8">
                  <c:v>0.25438</c:v>
                </c:pt>
                <c:pt idx="9">
                  <c:v>0.28616999999999998</c:v>
                </c:pt>
                <c:pt idx="10">
                  <c:v>0.31796999999999997</c:v>
                </c:pt>
                <c:pt idx="11">
                  <c:v>0.34977000000000003</c:v>
                </c:pt>
                <c:pt idx="12">
                  <c:v>0.38156000000000001</c:v>
                </c:pt>
                <c:pt idx="13">
                  <c:v>0.41336000000000001</c:v>
                </c:pt>
                <c:pt idx="14">
                  <c:v>0.44516</c:v>
                </c:pt>
                <c:pt idx="15">
                  <c:v>0.47696</c:v>
                </c:pt>
                <c:pt idx="16">
                  <c:v>0.50875000000000004</c:v>
                </c:pt>
                <c:pt idx="17">
                  <c:v>0.54054999999999997</c:v>
                </c:pt>
                <c:pt idx="18">
                  <c:v>0.57235000000000003</c:v>
                </c:pt>
                <c:pt idx="19">
                  <c:v>0.60414000000000001</c:v>
                </c:pt>
                <c:pt idx="20">
                  <c:v>0.63593999999999995</c:v>
                </c:pt>
                <c:pt idx="21">
                  <c:v>0.66774</c:v>
                </c:pt>
              </c:numCache>
            </c:numRef>
          </c:xVal>
          <c:yVal>
            <c:numRef>
              <c:f>'400'!$C$8:$C$29</c:f>
              <c:numCache>
                <c:formatCode>0.0000</c:formatCode>
                <c:ptCount val="22"/>
                <c:pt idx="0">
                  <c:v>0</c:v>
                </c:pt>
                <c:pt idx="1">
                  <c:v>5.9700000000000003E-2</c:v>
                </c:pt>
                <c:pt idx="2">
                  <c:v>0.1235</c:v>
                </c:pt>
                <c:pt idx="3">
                  <c:v>0.19220000000000001</c:v>
                </c:pt>
                <c:pt idx="4">
                  <c:v>0.2656</c:v>
                </c:pt>
                <c:pt idx="5">
                  <c:v>0.34260000000000002</c:v>
                </c:pt>
                <c:pt idx="6">
                  <c:v>0.42120000000000002</c:v>
                </c:pt>
                <c:pt idx="7">
                  <c:v>0.49880000000000002</c:v>
                </c:pt>
                <c:pt idx="8">
                  <c:v>0.57310000000000005</c:v>
                </c:pt>
                <c:pt idx="9">
                  <c:v>0.64170000000000005</c:v>
                </c:pt>
                <c:pt idx="10">
                  <c:v>0.70299999999999996</c:v>
                </c:pt>
                <c:pt idx="11">
                  <c:v>0.75609999999999999</c:v>
                </c:pt>
                <c:pt idx="12">
                  <c:v>0.80049999999999999</c:v>
                </c:pt>
                <c:pt idx="13">
                  <c:v>0.83650000000000002</c:v>
                </c:pt>
                <c:pt idx="14">
                  <c:v>0.90269999999999995</c:v>
                </c:pt>
                <c:pt idx="15">
                  <c:v>0.91420000000000001</c:v>
                </c:pt>
                <c:pt idx="16">
                  <c:v>0.92259999999999998</c:v>
                </c:pt>
                <c:pt idx="17">
                  <c:v>0.92710000000000004</c:v>
                </c:pt>
                <c:pt idx="18">
                  <c:v>0.92620000000000002</c:v>
                </c:pt>
                <c:pt idx="19">
                  <c:v>0.91539999999999999</c:v>
                </c:pt>
                <c:pt idx="20">
                  <c:v>0.87839999999999996</c:v>
                </c:pt>
                <c:pt idx="21">
                  <c:v>0.7651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55280"/>
        <c:axId val="-1277769424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'400'!$B$8:$B$29</c:f>
              <c:numCache>
                <c:formatCode>0.0000</c:formatCode>
                <c:ptCount val="22"/>
                <c:pt idx="0">
                  <c:v>0</c:v>
                </c:pt>
                <c:pt idx="1">
                  <c:v>3.1800000000000002E-2</c:v>
                </c:pt>
                <c:pt idx="2">
                  <c:v>6.3589999999999994E-2</c:v>
                </c:pt>
                <c:pt idx="3">
                  <c:v>9.5390000000000003E-2</c:v>
                </c:pt>
                <c:pt idx="4">
                  <c:v>0.12719</c:v>
                </c:pt>
                <c:pt idx="5">
                  <c:v>0.15898999999999999</c:v>
                </c:pt>
                <c:pt idx="6">
                  <c:v>0.19078000000000001</c:v>
                </c:pt>
                <c:pt idx="7">
                  <c:v>0.22258</c:v>
                </c:pt>
                <c:pt idx="8">
                  <c:v>0.25438</c:v>
                </c:pt>
                <c:pt idx="9">
                  <c:v>0.28616999999999998</c:v>
                </c:pt>
                <c:pt idx="10">
                  <c:v>0.31796999999999997</c:v>
                </c:pt>
                <c:pt idx="11">
                  <c:v>0.34977000000000003</c:v>
                </c:pt>
                <c:pt idx="12">
                  <c:v>0.38156000000000001</c:v>
                </c:pt>
                <c:pt idx="13">
                  <c:v>0.41336000000000001</c:v>
                </c:pt>
                <c:pt idx="14">
                  <c:v>0.44516</c:v>
                </c:pt>
                <c:pt idx="15">
                  <c:v>0.47696</c:v>
                </c:pt>
                <c:pt idx="16">
                  <c:v>0.50875000000000004</c:v>
                </c:pt>
                <c:pt idx="17">
                  <c:v>0.54054999999999997</c:v>
                </c:pt>
                <c:pt idx="18">
                  <c:v>0.57235000000000003</c:v>
                </c:pt>
                <c:pt idx="19">
                  <c:v>0.60414000000000001</c:v>
                </c:pt>
                <c:pt idx="20">
                  <c:v>0.63593999999999995</c:v>
                </c:pt>
                <c:pt idx="21">
                  <c:v>0.66774</c:v>
                </c:pt>
              </c:numCache>
            </c:numRef>
          </c:xVal>
          <c:yVal>
            <c:numRef>
              <c:f>'400'!$E$8:$E$29</c:f>
              <c:numCache>
                <c:formatCode>0.0000</c:formatCode>
                <c:ptCount val="22"/>
                <c:pt idx="0">
                  <c:v>6.7229999999999998E-3</c:v>
                </c:pt>
                <c:pt idx="1">
                  <c:v>6.5760000000000002E-3</c:v>
                </c:pt>
                <c:pt idx="2">
                  <c:v>6.4359999999999999E-3</c:v>
                </c:pt>
                <c:pt idx="3">
                  <c:v>6.3270000000000002E-3</c:v>
                </c:pt>
                <c:pt idx="4">
                  <c:v>6.2690000000000003E-3</c:v>
                </c:pt>
                <c:pt idx="5">
                  <c:v>6.2740000000000001E-3</c:v>
                </c:pt>
                <c:pt idx="6">
                  <c:v>6.3509999999999999E-3</c:v>
                </c:pt>
                <c:pt idx="7">
                  <c:v>6.5040000000000002E-3</c:v>
                </c:pt>
                <c:pt idx="8">
                  <c:v>6.7369999999999999E-3</c:v>
                </c:pt>
                <c:pt idx="9">
                  <c:v>7.051E-3</c:v>
                </c:pt>
                <c:pt idx="10">
                  <c:v>7.4450000000000002E-3</c:v>
                </c:pt>
                <c:pt idx="11">
                  <c:v>7.9190000000000007E-3</c:v>
                </c:pt>
                <c:pt idx="12">
                  <c:v>8.4709999999999994E-3</c:v>
                </c:pt>
                <c:pt idx="13">
                  <c:v>9.1000000000000004E-3</c:v>
                </c:pt>
                <c:pt idx="14">
                  <c:v>9.221E-3</c:v>
                </c:pt>
                <c:pt idx="15">
                  <c:v>8.6090000000000003E-3</c:v>
                </c:pt>
                <c:pt idx="16">
                  <c:v>7.8759999999999993E-3</c:v>
                </c:pt>
                <c:pt idx="17">
                  <c:v>7.0179999999999999E-3</c:v>
                </c:pt>
                <c:pt idx="18">
                  <c:v>6.0309999999999999E-3</c:v>
                </c:pt>
                <c:pt idx="19">
                  <c:v>4.9170000000000004E-3</c:v>
                </c:pt>
                <c:pt idx="20">
                  <c:v>3.6849999999999999E-3</c:v>
                </c:pt>
                <c:pt idx="21">
                  <c:v>2.3310000000000002E-3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'400'!$B$8:$B$29</c:f>
              <c:numCache>
                <c:formatCode>0.0000</c:formatCode>
                <c:ptCount val="22"/>
                <c:pt idx="0">
                  <c:v>0</c:v>
                </c:pt>
                <c:pt idx="1">
                  <c:v>3.1800000000000002E-2</c:v>
                </c:pt>
                <c:pt idx="2">
                  <c:v>6.3589999999999994E-2</c:v>
                </c:pt>
                <c:pt idx="3">
                  <c:v>9.5390000000000003E-2</c:v>
                </c:pt>
                <c:pt idx="4">
                  <c:v>0.12719</c:v>
                </c:pt>
                <c:pt idx="5">
                  <c:v>0.15898999999999999</c:v>
                </c:pt>
                <c:pt idx="6">
                  <c:v>0.19078000000000001</c:v>
                </c:pt>
                <c:pt idx="7">
                  <c:v>0.22258</c:v>
                </c:pt>
                <c:pt idx="8">
                  <c:v>0.25438</c:v>
                </c:pt>
                <c:pt idx="9">
                  <c:v>0.28616999999999998</c:v>
                </c:pt>
                <c:pt idx="10">
                  <c:v>0.31796999999999997</c:v>
                </c:pt>
                <c:pt idx="11">
                  <c:v>0.34977000000000003</c:v>
                </c:pt>
                <c:pt idx="12">
                  <c:v>0.38156000000000001</c:v>
                </c:pt>
                <c:pt idx="13">
                  <c:v>0.41336000000000001</c:v>
                </c:pt>
                <c:pt idx="14">
                  <c:v>0.44516</c:v>
                </c:pt>
                <c:pt idx="15">
                  <c:v>0.47696</c:v>
                </c:pt>
                <c:pt idx="16">
                  <c:v>0.50875000000000004</c:v>
                </c:pt>
                <c:pt idx="17">
                  <c:v>0.54054999999999997</c:v>
                </c:pt>
                <c:pt idx="18">
                  <c:v>0.57235000000000003</c:v>
                </c:pt>
                <c:pt idx="19">
                  <c:v>0.60414000000000001</c:v>
                </c:pt>
                <c:pt idx="20">
                  <c:v>0.63593999999999995</c:v>
                </c:pt>
                <c:pt idx="21">
                  <c:v>0.66774</c:v>
                </c:pt>
              </c:numCache>
            </c:numRef>
          </c:xVal>
          <c:yVal>
            <c:numRef>
              <c:f>'400'!$D$8:$D$29</c:f>
              <c:numCache>
                <c:formatCode>0.0000</c:formatCode>
                <c:ptCount val="22"/>
                <c:pt idx="0">
                  <c:v>1.226E-2</c:v>
                </c:pt>
                <c:pt idx="1">
                  <c:v>1.234E-2</c:v>
                </c:pt>
                <c:pt idx="2">
                  <c:v>1.2500000000000001E-2</c:v>
                </c:pt>
                <c:pt idx="3">
                  <c:v>1.2749999999999999E-2</c:v>
                </c:pt>
                <c:pt idx="4">
                  <c:v>1.3089999999999999E-2</c:v>
                </c:pt>
                <c:pt idx="5">
                  <c:v>1.3520000000000001E-2</c:v>
                </c:pt>
                <c:pt idx="6">
                  <c:v>1.4019999999999999E-2</c:v>
                </c:pt>
                <c:pt idx="7">
                  <c:v>1.4579999999999999E-2</c:v>
                </c:pt>
                <c:pt idx="8">
                  <c:v>1.5180000000000001E-2</c:v>
                </c:pt>
                <c:pt idx="9">
                  <c:v>1.5810000000000001E-2</c:v>
                </c:pt>
                <c:pt idx="10">
                  <c:v>1.6459999999999999E-2</c:v>
                </c:pt>
                <c:pt idx="11">
                  <c:v>1.712E-2</c:v>
                </c:pt>
                <c:pt idx="12">
                  <c:v>1.7770000000000001E-2</c:v>
                </c:pt>
                <c:pt idx="13">
                  <c:v>1.8419999999999999E-2</c:v>
                </c:pt>
                <c:pt idx="14">
                  <c:v>1.8700000000000001E-2</c:v>
                </c:pt>
                <c:pt idx="15">
                  <c:v>1.6500000000000001E-2</c:v>
                </c:pt>
                <c:pt idx="16">
                  <c:v>1.4279999999999999E-2</c:v>
                </c:pt>
                <c:pt idx="17">
                  <c:v>1.204E-2</c:v>
                </c:pt>
                <c:pt idx="18">
                  <c:v>9.7599999999999996E-3</c:v>
                </c:pt>
                <c:pt idx="19">
                  <c:v>7.4510000000000002E-3</c:v>
                </c:pt>
                <c:pt idx="20">
                  <c:v>5.0889999999999998E-3</c:v>
                </c:pt>
                <c:pt idx="21">
                  <c:v>2.6700000000000001E-3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65072"/>
        <c:axId val="-1277754192"/>
      </c:scatterChart>
      <c:valAx>
        <c:axId val="-127775528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69424"/>
        <c:crosses val="autoZero"/>
        <c:crossBetween val="midCat"/>
      </c:valAx>
      <c:valAx>
        <c:axId val="-1277769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55280"/>
        <c:crosses val="autoZero"/>
        <c:crossBetween val="midCat"/>
      </c:valAx>
      <c:valAx>
        <c:axId val="-1277754192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65072"/>
        <c:crosses val="max"/>
        <c:crossBetween val="midCat"/>
      </c:valAx>
      <c:valAx>
        <c:axId val="-1277765072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-127775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'400'!$Y$11:$Y$16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'400'!$AB$11:$AB$16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'400'!$Y$21:$Y$26</c:f>
              <c:numCache>
                <c:formatCode>General</c:formatCode>
                <c:ptCount val="6"/>
                <c:pt idx="0">
                  <c:v>-4</c:v>
                </c:pt>
                <c:pt idx="1">
                  <c:v>-3</c:v>
                </c:pt>
                <c:pt idx="2">
                  <c:v>-2.75</c:v>
                </c:pt>
                <c:pt idx="3">
                  <c:v>-1.3</c:v>
                </c:pt>
                <c:pt idx="4">
                  <c:v>-0.9</c:v>
                </c:pt>
                <c:pt idx="5">
                  <c:v>-1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'400'!$AE$21:$AE$26</c:f>
              <c:numCache>
                <c:formatCode>General</c:formatCode>
                <c:ptCount val="6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-1.5</c:v>
                </c:pt>
                <c:pt idx="4">
                  <c:v>-0.9</c:v>
                </c:pt>
                <c:pt idx="5">
                  <c:v>-0.7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44400"/>
        <c:axId val="-1277755824"/>
      </c:scatterChart>
      <c:valAx>
        <c:axId val="-127774440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55824"/>
        <c:crosses val="autoZero"/>
        <c:crossBetween val="midCat"/>
      </c:valAx>
      <c:valAx>
        <c:axId val="-12777558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4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37568673481028"/>
          <c:y val="9.8442833664296278E-2"/>
          <c:w val="0.20806116626726007"/>
          <c:h val="0.34439002716132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'400'!$Q$3:$Q$13</c:f>
              <c:numCache>
                <c:formatCode>0.00000</c:formatCode>
                <c:ptCount val="11"/>
                <c:pt idx="0">
                  <c:v>1.0200000000000001E-2</c:v>
                </c:pt>
                <c:pt idx="1">
                  <c:v>1.41E-2</c:v>
                </c:pt>
                <c:pt idx="2">
                  <c:v>1.6799999999999999E-2</c:v>
                </c:pt>
                <c:pt idx="3">
                  <c:v>1.7999999999999999E-2</c:v>
                </c:pt>
                <c:pt idx="4">
                  <c:v>1.7999999999999999E-2</c:v>
                </c:pt>
                <c:pt idx="5">
                  <c:v>1.7100000000000001E-2</c:v>
                </c:pt>
                <c:pt idx="6">
                  <c:v>1.55E-2</c:v>
                </c:pt>
                <c:pt idx="7">
                  <c:v>1.32E-2</c:v>
                </c:pt>
                <c:pt idx="8">
                  <c:v>1.0200000000000001E-2</c:v>
                </c:pt>
                <c:pt idx="9">
                  <c:v>5.8300000000000001E-3</c:v>
                </c:pt>
                <c:pt idx="10">
                  <c:v>3.14E-3</c:v>
                </c:pt>
              </c:numCache>
            </c:numRef>
          </c:xVal>
          <c:yVal>
            <c:numRef>
              <c:f>'400'!$P$3:$P$13</c:f>
              <c:numCache>
                <c:formatCode>0.00000</c:formatCode>
                <c:ptCount val="11"/>
                <c:pt idx="0">
                  <c:v>3.3799999999999997E-2</c:v>
                </c:pt>
                <c:pt idx="1">
                  <c:v>5.1299999999999998E-2</c:v>
                </c:pt>
                <c:pt idx="2">
                  <c:v>6.88E-2</c:v>
                </c:pt>
                <c:pt idx="3">
                  <c:v>8.6300000000000002E-2</c:v>
                </c:pt>
                <c:pt idx="4">
                  <c:v>0.10375</c:v>
                </c:pt>
                <c:pt idx="5">
                  <c:v>0.12125</c:v>
                </c:pt>
                <c:pt idx="6">
                  <c:v>0.13875000000000001</c:v>
                </c:pt>
                <c:pt idx="7">
                  <c:v>0.15625</c:v>
                </c:pt>
                <c:pt idx="8">
                  <c:v>0.17374999999999999</c:v>
                </c:pt>
                <c:pt idx="9">
                  <c:v>0.19125</c:v>
                </c:pt>
                <c:pt idx="10">
                  <c:v>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70512"/>
        <c:axId val="-1277741680"/>
      </c:scatterChart>
      <c:valAx>
        <c:axId val="-127777051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-1277741680"/>
        <c:crosses val="autoZero"/>
        <c:crossBetween val="midCat"/>
      </c:valAx>
      <c:valAx>
        <c:axId val="-12777416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-127777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'400'!$C$33:$C$57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'400'!$D$33:$D$57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'400'!$E$33:$E$57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'400'!$F$33:$F$57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'400'!$G$33:$G$57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'400'!$H$33:$H$57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47664"/>
        <c:axId val="-1277743312"/>
      </c:scatterChart>
      <c:valAx>
        <c:axId val="-1277747664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43312"/>
        <c:crosses val="autoZero"/>
        <c:crossBetween val="midCat"/>
      </c:valAx>
      <c:valAx>
        <c:axId val="-127774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4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Torque vs 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72069444210266"/>
          <c:y val="0.18522358104165115"/>
          <c:w val="0.82419936265996729"/>
          <c:h val="0.621972425277556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5.2829163452535161E-2"/>
                  <c:y val="-6.855276338059407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hEng!$B$3:$B$22</c:f>
              <c:numCache>
                <c:formatCode>General</c:formatCode>
                <c:ptCount val="2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150</c:v>
                </c:pt>
              </c:numCache>
            </c:numRef>
          </c:xVal>
          <c:yVal>
            <c:numRef>
              <c:f>hEng!$C$3:$C$22</c:f>
              <c:numCache>
                <c:formatCode>0.00</c:formatCode>
                <c:ptCount val="20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21.5</c:v>
                </c:pt>
                <c:pt idx="4">
                  <c:v>26.8</c:v>
                </c:pt>
                <c:pt idx="5">
                  <c:v>28.1</c:v>
                </c:pt>
                <c:pt idx="6">
                  <c:v>29.8</c:v>
                </c:pt>
                <c:pt idx="7">
                  <c:v>31.8</c:v>
                </c:pt>
                <c:pt idx="8">
                  <c:v>31.8</c:v>
                </c:pt>
                <c:pt idx="9">
                  <c:v>29.8</c:v>
                </c:pt>
                <c:pt idx="10">
                  <c:v>23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60176"/>
        <c:axId val="-1277752560"/>
      </c:scatterChart>
      <c:valAx>
        <c:axId val="-127776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RPM</a:t>
                </a:r>
              </a:p>
            </c:rich>
          </c:tx>
          <c:layout>
            <c:manualLayout>
              <c:xMode val="edge"/>
              <c:yMode val="edge"/>
              <c:x val="0.47822871177505383"/>
              <c:y val="0.889148452285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52560"/>
        <c:crosses val="autoZero"/>
        <c:crossBetween val="midCat"/>
      </c:valAx>
      <c:valAx>
        <c:axId val="-127775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Torque [Nm]</a:t>
                </a:r>
              </a:p>
            </c:rich>
          </c:tx>
          <c:layout>
            <c:manualLayout>
              <c:xMode val="edge"/>
              <c:yMode val="edge"/>
              <c:x val="1.7130620985010708E-2"/>
              <c:y val="0.32895145881698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6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Power vs 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72069444210266"/>
          <c:y val="0.18522358104165115"/>
          <c:w val="0.82419936265996729"/>
          <c:h val="0.621972425277556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5.2877077865266839E-2"/>
                  <c:y val="6.483277552452510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hEng!$B$3:$B$22</c:f>
              <c:numCache>
                <c:formatCode>General</c:formatCode>
                <c:ptCount val="2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150</c:v>
                </c:pt>
              </c:numCache>
            </c:numRef>
          </c:xVal>
          <c:yVal>
            <c:numRef>
              <c:f>hEng!$D$3:$D$22</c:f>
              <c:numCache>
                <c:formatCode>0.00</c:formatCode>
                <c:ptCount val="20"/>
                <c:pt idx="0">
                  <c:v>0</c:v>
                </c:pt>
                <c:pt idx="1">
                  <c:v>16.755160819145562</c:v>
                </c:pt>
                <c:pt idx="2">
                  <c:v>62.831853071795862</c:v>
                </c:pt>
                <c:pt idx="3">
                  <c:v>135.0884841043611</c:v>
                </c:pt>
                <c:pt idx="4">
                  <c:v>224.51915497655054</c:v>
                </c:pt>
                <c:pt idx="5">
                  <c:v>250.12313510330736</c:v>
                </c:pt>
                <c:pt idx="6">
                  <c:v>280.85838323092753</c:v>
                </c:pt>
                <c:pt idx="7">
                  <c:v>333.00882128051802</c:v>
                </c:pt>
                <c:pt idx="8">
                  <c:v>366.30970340856987</c:v>
                </c:pt>
                <c:pt idx="9">
                  <c:v>374.4778443079033</c:v>
                </c:pt>
                <c:pt idx="10">
                  <c:v>313.11206780778269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7759632"/>
        <c:axId val="-1277751472"/>
      </c:scatterChart>
      <c:valAx>
        <c:axId val="-127775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RPM</a:t>
                </a:r>
              </a:p>
            </c:rich>
          </c:tx>
          <c:layout>
            <c:manualLayout>
              <c:xMode val="edge"/>
              <c:yMode val="edge"/>
              <c:x val="0.47822871177505383"/>
              <c:y val="0.889148452285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51472"/>
        <c:crosses val="autoZero"/>
        <c:crossBetween val="midCat"/>
      </c:valAx>
      <c:valAx>
        <c:axId val="-127775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Power [W]</a:t>
                </a:r>
              </a:p>
            </c:rich>
          </c:tx>
          <c:layout>
            <c:manualLayout>
              <c:xMode val="edge"/>
              <c:yMode val="edge"/>
              <c:x val="1.7130620985010708E-2"/>
              <c:y val="0.32895145881698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7775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17073" y="331932"/>
          <a:ext cx="2139682" cy="83809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35</xdr:row>
      <xdr:rowOff>158750</xdr:rowOff>
    </xdr:from>
    <xdr:to>
      <xdr:col>16</xdr:col>
      <xdr:colOff>339725</xdr:colOff>
      <xdr:row>51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34</xdr:row>
      <xdr:rowOff>158750</xdr:rowOff>
    </xdr:from>
    <xdr:to>
      <xdr:col>16</xdr:col>
      <xdr:colOff>339725</xdr:colOff>
      <xdr:row>50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63500</xdr:rowOff>
    </xdr:from>
    <xdr:to>
      <xdr:col>7</xdr:col>
      <xdr:colOff>19050</xdr:colOff>
      <xdr:row>14</xdr:row>
      <xdr:rowOff>25400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6350</xdr:colOff>
      <xdr:row>0</xdr:row>
      <xdr:rowOff>63500</xdr:rowOff>
    </xdr:from>
    <xdr:to>
      <xdr:col>13</xdr:col>
      <xdr:colOff>603250</xdr:colOff>
      <xdr:row>14</xdr:row>
      <xdr:rowOff>25400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603250</xdr:colOff>
      <xdr:row>0</xdr:row>
      <xdr:rowOff>57150</xdr:rowOff>
    </xdr:from>
    <xdr:to>
      <xdr:col>21</xdr:col>
      <xdr:colOff>12700</xdr:colOff>
      <xdr:row>14</xdr:row>
      <xdr:rowOff>19050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127000</xdr:colOff>
      <xdr:row>6</xdr:row>
      <xdr:rowOff>57149</xdr:rowOff>
    </xdr:from>
    <xdr:to>
      <xdr:col>24</xdr:col>
      <xdr:colOff>304800</xdr:colOff>
      <xdr:row>20</xdr:row>
      <xdr:rowOff>123824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99598" y="331932"/>
          <a:ext cx="2130157" cy="83809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34</xdr:row>
      <xdr:rowOff>158750</xdr:rowOff>
    </xdr:from>
    <xdr:to>
      <xdr:col>16</xdr:col>
      <xdr:colOff>339725</xdr:colOff>
      <xdr:row>50</xdr:row>
      <xdr:rowOff>134937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122583</xdr:rowOff>
    </xdr:from>
    <xdr:to>
      <xdr:col>21</xdr:col>
      <xdr:colOff>34479</xdr:colOff>
      <xdr:row>22</xdr:row>
      <xdr:rowOff>27333</xdr:rowOff>
    </xdr:to>
    <xdr:pic>
      <xdr:nvPicPr>
        <xdr:cNvPr id="2" name="Imagem 1" descr="http://users.frii.com/katana/biketw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218083"/>
          <a:ext cx="4301679" cy="180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20</xdr:col>
      <xdr:colOff>600075</xdr:colOff>
      <xdr:row>12</xdr:row>
      <xdr:rowOff>74958</xdr:rowOff>
    </xdr:to>
    <xdr:pic>
      <xdr:nvPicPr>
        <xdr:cNvPr id="3" name="Imagem 2" descr="http://users.frii.com/katana/bikeone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81000"/>
          <a:ext cx="4257675" cy="17894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57149</xdr:colOff>
      <xdr:row>2</xdr:row>
      <xdr:rowOff>28575</xdr:rowOff>
    </xdr:from>
    <xdr:to>
      <xdr:col>11</xdr:col>
      <xdr:colOff>238124</xdr:colOff>
      <xdr:row>13</xdr:row>
      <xdr:rowOff>133351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590550</xdr:colOff>
      <xdr:row>16</xdr:row>
      <xdr:rowOff>38100</xdr:rowOff>
    </xdr:from>
    <xdr:to>
      <xdr:col>11</xdr:col>
      <xdr:colOff>161925</xdr:colOff>
      <xdr:row>27</xdr:row>
      <xdr:rowOff>142876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://users.frii.com/katana/biketex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U20"/>
  <sheetViews>
    <sheetView tabSelected="1" zoomScaleNormal="100" workbookViewId="0">
      <selection activeCell="K10" sqref="K10"/>
    </sheetView>
  </sheetViews>
  <sheetFormatPr defaultColWidth="8.7265625" defaultRowHeight="14.5" x14ac:dyDescent="0.35"/>
  <cols>
    <col min="1" max="1" width="4.1796875" style="2" customWidth="1"/>
    <col min="2" max="2" width="9.81640625" style="2" customWidth="1"/>
    <col min="3" max="3" width="12.81640625" style="6" customWidth="1"/>
    <col min="4" max="4" width="5.54296875" style="2" customWidth="1"/>
    <col min="5" max="5" width="9.7265625" style="2" customWidth="1"/>
    <col min="6" max="6" width="9.26953125" style="3" customWidth="1"/>
    <col min="7" max="7" width="5.7265625" style="3" customWidth="1"/>
    <col min="8" max="9" width="12.453125" style="3" customWidth="1"/>
    <col min="10" max="10" width="12.1796875" style="3" customWidth="1"/>
    <col min="11" max="11" width="12.453125" style="3" customWidth="1"/>
    <col min="12" max="12" width="5.7265625" style="3" customWidth="1"/>
    <col min="13" max="13" width="11.453125" style="3" customWidth="1"/>
    <col min="14" max="14" width="12.54296875" style="3" customWidth="1"/>
    <col min="15" max="15" width="11.453125" style="4" customWidth="1"/>
    <col min="16" max="16" width="11.453125" style="3" customWidth="1"/>
    <col min="17" max="20" width="11.453125" style="4" customWidth="1"/>
    <col min="21" max="21" width="12.1796875" style="4" customWidth="1"/>
    <col min="22" max="16384" width="8.7265625" style="2"/>
  </cols>
  <sheetData>
    <row r="1" spans="2:21" ht="15" thickBot="1" x14ac:dyDescent="0.4">
      <c r="F1" s="2"/>
      <c r="G1" s="2"/>
      <c r="H1" s="87" t="s">
        <v>102</v>
      </c>
      <c r="I1" s="87"/>
      <c r="J1" s="87"/>
      <c r="K1" s="87"/>
      <c r="L1" s="2"/>
      <c r="M1" s="2" t="s">
        <v>101</v>
      </c>
      <c r="N1" s="2"/>
      <c r="O1" s="2"/>
      <c r="P1" s="2"/>
      <c r="Q1" s="2"/>
      <c r="R1" s="2"/>
      <c r="S1" s="2"/>
      <c r="T1" s="2"/>
      <c r="U1" s="2"/>
    </row>
    <row r="2" spans="2:21" ht="15" thickBot="1" x14ac:dyDescent="0.4">
      <c r="B2" s="84" t="s">
        <v>28</v>
      </c>
      <c r="C2" s="86"/>
      <c r="E2" s="88" t="s">
        <v>30</v>
      </c>
      <c r="F2" s="88"/>
      <c r="H2" s="84" t="s">
        <v>90</v>
      </c>
      <c r="I2" s="86"/>
      <c r="J2" s="70" t="s">
        <v>93</v>
      </c>
      <c r="K2" s="70" t="s">
        <v>91</v>
      </c>
      <c r="L2" s="2"/>
      <c r="M2" s="84" t="s">
        <v>56</v>
      </c>
      <c r="N2" s="85"/>
      <c r="O2" s="86"/>
      <c r="P2" s="84" t="s">
        <v>57</v>
      </c>
      <c r="Q2" s="85"/>
      <c r="R2" s="86"/>
      <c r="S2" s="84" t="s">
        <v>58</v>
      </c>
      <c r="T2" s="85"/>
      <c r="U2" s="86"/>
    </row>
    <row r="3" spans="2:21" x14ac:dyDescent="0.35">
      <c r="B3" s="7" t="s">
        <v>22</v>
      </c>
      <c r="C3" s="9" t="s">
        <v>146</v>
      </c>
      <c r="E3" s="11" t="s">
        <v>17</v>
      </c>
      <c r="F3" s="12" t="s">
        <v>20</v>
      </c>
      <c r="H3" s="11" t="s">
        <v>42</v>
      </c>
      <c r="I3" s="37" t="s">
        <v>48</v>
      </c>
      <c r="J3" s="37" t="s">
        <v>94</v>
      </c>
      <c r="K3" s="37" t="s">
        <v>92</v>
      </c>
      <c r="L3" s="2"/>
      <c r="M3" s="11" t="s">
        <v>36</v>
      </c>
      <c r="N3" s="35" t="s">
        <v>59</v>
      </c>
      <c r="O3" s="28" t="s">
        <v>18</v>
      </c>
      <c r="P3" s="11" t="s">
        <v>19</v>
      </c>
      <c r="Q3" s="15" t="s">
        <v>43</v>
      </c>
      <c r="R3" s="28" t="s">
        <v>45</v>
      </c>
      <c r="S3" s="30" t="s">
        <v>44</v>
      </c>
      <c r="T3" s="15" t="s">
        <v>46</v>
      </c>
      <c r="U3" s="28" t="s">
        <v>89</v>
      </c>
    </row>
    <row r="4" spans="2:21" x14ac:dyDescent="0.35">
      <c r="B4" s="7" t="s">
        <v>27</v>
      </c>
      <c r="C4" s="9" t="s">
        <v>61</v>
      </c>
      <c r="E4" s="20">
        <v>94.62785683612158</v>
      </c>
      <c r="F4" s="13">
        <v>0.5</v>
      </c>
      <c r="H4" s="16">
        <f ca="1">S4/$C$7</f>
        <v>250.00032923562617</v>
      </c>
      <c r="I4" s="38">
        <f ca="1">$C$18*U4/$C$7</f>
        <v>25.228588812716037</v>
      </c>
      <c r="J4" s="38">
        <f ca="1">I4/$C$18</f>
        <v>6.6641555354344248</v>
      </c>
      <c r="K4" s="38">
        <f ca="1">T4</f>
        <v>49.435660676080353</v>
      </c>
      <c r="L4" s="2"/>
      <c r="M4" s="16">
        <f t="shared" ref="M4:M15" si="0">E4*$C$18</f>
        <v>358.23402945103169</v>
      </c>
      <c r="N4" s="36">
        <f>M4*PI()/30</f>
        <v>37.514179839641024</v>
      </c>
      <c r="O4" s="32">
        <f t="shared" ref="O4:O15" ca="1" si="1">F4/(N4*($C$11/2))</f>
        <v>7.8401726578074094E-2</v>
      </c>
      <c r="P4" s="31">
        <f t="shared" ref="P4:P15" ca="1" si="2">IF(O4&gt;$C$13,0,INDIRECT($C$3&amp;"!$I$2")*O4^5+INDIRECT($C$3&amp;"!$J$2")*O4^4+INDIRECT($C$3&amp;"!$K$2")*O4^3+INDIRECT($C$3&amp;"!$L$2")*O4^2+INDIRECT($C$3&amp;"!$M$2")*O4+INDIRECT($C$3&amp;"!$N$2"))</f>
        <v>8.3125123442809312E-2</v>
      </c>
      <c r="Q4" s="17">
        <f ca="1">((2*PI()^4/16))*IF(O4&gt;$C$13,0,INDIRECT($C$3&amp;"!$I$4")*O4^5+INDIRECT($C$3&amp;"!$J$4")*O4^4+INDIRECT($C$3&amp;"!$K$4")*O4^3+INDIRECT($C$3&amp;"!$L$4")*O4^2+INDIRECT($C$3&amp;"!$M$4")*O4+INDIRECT($C$3&amp;"!$N$4"))</f>
        <v>0.23708453206019264</v>
      </c>
      <c r="R4" s="32">
        <f ca="1">(PI()^3/8)*IF(O4&gt;$C$13,0,INDIRECT($C$3&amp;"!$I$6")*O4^5+INDIRECT($C$3&amp;"!$J$6")*O4^4+INDIRECT($C$3&amp;"!$K$6")*O4^3+INDIRECT($C$3&amp;"!$L$6")*O4^2+INDIRECT($C$3&amp;"!$M$6")*O4+INDIRECT($C$3&amp;"!$N$6"))</f>
        <v>0.10124407891202329</v>
      </c>
      <c r="S4" s="16">
        <f t="shared" ref="S4:S15" ca="1" si="3">Q4*$C$8*(M4/60)^3*$C$11^5</f>
        <v>235.00030948148859</v>
      </c>
      <c r="T4" s="27">
        <f t="shared" ref="T4:T15" ca="1" si="4">R4*$C$8*(M4/60)^2*$C$11^4</f>
        <v>49.435660676080353</v>
      </c>
      <c r="U4" s="29">
        <f ca="1">(Q4/(2*PI()))*$C$8*(M4/60)^2*$C$11^5</f>
        <v>6.264306203308359</v>
      </c>
    </row>
    <row r="5" spans="2:21" x14ac:dyDescent="0.35">
      <c r="B5" s="7" t="s">
        <v>31</v>
      </c>
      <c r="C5" s="10">
        <v>53</v>
      </c>
      <c r="E5" s="20">
        <v>96.972115774330831</v>
      </c>
      <c r="F5" s="13">
        <v>1</v>
      </c>
      <c r="H5" s="16">
        <f t="shared" ref="H5:H15" ca="1" si="5">S5/$C$7</f>
        <v>250.0003888876175</v>
      </c>
      <c r="I5" s="38">
        <f t="shared" ref="I5:I15" ca="1" si="6">$C$18*U5/$C$7</f>
        <v>24.618704468997155</v>
      </c>
      <c r="J5" s="38">
        <f t="shared" ref="J5:J15" ca="1" si="7">I5/$C$18</f>
        <v>6.5030540106784942</v>
      </c>
      <c r="K5" s="38">
        <f t="shared" ref="K5:K15" ca="1" si="8">T5</f>
        <v>53.765218169789947</v>
      </c>
      <c r="L5" s="2"/>
      <c r="M5" s="16">
        <f t="shared" si="0"/>
        <v>367.10872400282386</v>
      </c>
      <c r="N5" s="36">
        <f t="shared" ref="N5:N15" si="9">M5*PI()/30</f>
        <v>38.443535679866478</v>
      </c>
      <c r="O5" s="32">
        <f t="shared" ca="1" si="1"/>
        <v>0.15301279752624722</v>
      </c>
      <c r="P5" s="31">
        <f t="shared" ca="1" si="2"/>
        <v>0.23049173086841213</v>
      </c>
      <c r="Q5" s="17">
        <f t="shared" ref="Q5:Q15" ca="1" si="10">((2*PI()^4/16))*IF(O5&gt;$C$13,0,INDIRECT($C$3&amp;"!$I$4")*O5^5+INDIRECT($C$3&amp;"!$J$4")*O5^4+INDIRECT($C$3&amp;"!$K$4")*O5^3+INDIRECT($C$3&amp;"!$L$4")*O5^2+INDIRECT($C$3&amp;"!$M$4")*O5+INDIRECT($C$3&amp;"!$N$4"))</f>
        <v>0.22030265071203509</v>
      </c>
      <c r="R5" s="32">
        <f t="shared" ref="R5:R15" ca="1" si="11">(PI()^3/8)*IF(O5&gt;$C$13,0,INDIRECT($C$3&amp;"!$I$6")*O5^5+INDIRECT($C$3&amp;"!$J$6")*O5^4+INDIRECT($C$3&amp;"!$K$6")*O5^3+INDIRECT($C$3&amp;"!$L$6")*O5^2+INDIRECT($C$3&amp;"!$M$6")*O5+INDIRECT($C$3&amp;"!$N$6"))</f>
        <v>0.10485157757747192</v>
      </c>
      <c r="S5" s="16">
        <f t="shared" ca="1" si="3"/>
        <v>235.00036555436043</v>
      </c>
      <c r="T5" s="27">
        <f t="shared" ca="1" si="4"/>
        <v>53.765218169789947</v>
      </c>
      <c r="U5" s="29">
        <f t="shared" ref="U5:U15" ca="1" si="12">(Q5/(2*PI()))*$C$8*(M5/60)^2*$C$11^5</f>
        <v>6.1128707700377838</v>
      </c>
    </row>
    <row r="6" spans="2:21" x14ac:dyDescent="0.35">
      <c r="B6" s="7" t="s">
        <v>32</v>
      </c>
      <c r="C6" s="9">
        <v>14</v>
      </c>
      <c r="E6" s="20">
        <v>97.41879801517095</v>
      </c>
      <c r="F6" s="13">
        <v>1.5</v>
      </c>
      <c r="H6" s="16">
        <f t="shared" ca="1" si="5"/>
        <v>250.0006161312875</v>
      </c>
      <c r="I6" s="38">
        <f t="shared" ca="1" si="6"/>
        <v>24.505845674949231</v>
      </c>
      <c r="J6" s="38">
        <f t="shared" ca="1" si="7"/>
        <v>6.4732422537601746</v>
      </c>
      <c r="K6" s="38">
        <f t="shared" ca="1" si="8"/>
        <v>59.154540329557932</v>
      </c>
      <c r="L6" s="2"/>
      <c r="M6" s="16">
        <f t="shared" si="0"/>
        <v>368.79973534314718</v>
      </c>
      <c r="N6" s="36">
        <f t="shared" si="9"/>
        <v>38.620617973329701</v>
      </c>
      <c r="O6" s="32">
        <f t="shared" ca="1" si="1"/>
        <v>0.22846681059992316</v>
      </c>
      <c r="P6" s="31">
        <f t="shared" ca="1" si="2"/>
        <v>0.3936157643303243</v>
      </c>
      <c r="Q6" s="17">
        <f t="shared" ca="1" si="10"/>
        <v>0.21728634315492001</v>
      </c>
      <c r="R6" s="32">
        <f t="shared" ca="1" si="11"/>
        <v>0.11430621642873211</v>
      </c>
      <c r="S6" s="16">
        <f t="shared" ca="1" si="3"/>
        <v>235.00057916341024</v>
      </c>
      <c r="T6" s="27">
        <f t="shared" ca="1" si="4"/>
        <v>59.154540329557932</v>
      </c>
      <c r="U6" s="29">
        <f t="shared" ca="1" si="12"/>
        <v>6.0848477185345642</v>
      </c>
    </row>
    <row r="7" spans="2:21" x14ac:dyDescent="0.35">
      <c r="B7" s="7" t="s">
        <v>33</v>
      </c>
      <c r="C7" s="42">
        <v>0.94</v>
      </c>
      <c r="E7" s="20">
        <v>94.169574428163372</v>
      </c>
      <c r="F7" s="13">
        <v>2</v>
      </c>
      <c r="H7" s="16">
        <f t="shared" ca="1" si="5"/>
        <v>250.00083561694009</v>
      </c>
      <c r="I7" s="38">
        <f t="shared" ca="1" si="6"/>
        <v>25.351416743988612</v>
      </c>
      <c r="J7" s="38">
        <f t="shared" ca="1" si="7"/>
        <v>6.6966006493554824</v>
      </c>
      <c r="K7" s="38">
        <f t="shared" ca="1" si="8"/>
        <v>64.33560635081956</v>
      </c>
      <c r="L7" s="2"/>
      <c r="M7" s="16">
        <f t="shared" si="0"/>
        <v>356.49910319233277</v>
      </c>
      <c r="N7" s="36">
        <f t="shared" si="9"/>
        <v>37.332498786679402</v>
      </c>
      <c r="O7" s="32">
        <f t="shared" ca="1" si="1"/>
        <v>0.31513309488275404</v>
      </c>
      <c r="P7" s="31">
        <f t="shared" ca="1" si="2"/>
        <v>0.55504383611805808</v>
      </c>
      <c r="Q7" s="17">
        <f t="shared" ca="1" si="10"/>
        <v>0.24056325385500921</v>
      </c>
      <c r="R7" s="32">
        <f t="shared" ca="1" si="11"/>
        <v>0.13304467050761609</v>
      </c>
      <c r="S7" s="16">
        <f t="shared" ca="1" si="3"/>
        <v>235.00078547992368</v>
      </c>
      <c r="T7" s="27">
        <f t="shared" ca="1" si="4"/>
        <v>64.33560635081956</v>
      </c>
      <c r="U7" s="29">
        <f t="shared" ca="1" si="12"/>
        <v>6.2948046103941531</v>
      </c>
    </row>
    <row r="8" spans="2:21" ht="15" thickBot="1" x14ac:dyDescent="0.4">
      <c r="B8" s="8" t="s">
        <v>47</v>
      </c>
      <c r="C8" s="41">
        <v>1025</v>
      </c>
      <c r="E8" s="20">
        <v>88.260223009240121</v>
      </c>
      <c r="F8" s="13">
        <v>2.5</v>
      </c>
      <c r="H8" s="16">
        <f t="shared" ca="1" si="5"/>
        <v>250.0001487723533</v>
      </c>
      <c r="I8" s="38">
        <f t="shared" ca="1" si="6"/>
        <v>27.048714422575404</v>
      </c>
      <c r="J8" s="38">
        <f t="shared" ca="1" si="7"/>
        <v>7.1449434323784091</v>
      </c>
      <c r="K8" s="38">
        <f t="shared" ca="1" si="8"/>
        <v>66.837462998215329</v>
      </c>
      <c r="L8" s="2"/>
      <c r="M8" s="16">
        <f t="shared" si="0"/>
        <v>334.12798710640902</v>
      </c>
      <c r="N8" s="36">
        <f t="shared" si="9"/>
        <v>34.989800988407993</v>
      </c>
      <c r="O8" s="32">
        <f t="shared" ca="1" si="1"/>
        <v>0.42029054002945559</v>
      </c>
      <c r="P8" s="31">
        <f t="shared" ca="1" si="2"/>
        <v>0.70169606192863065</v>
      </c>
      <c r="Q8" s="17">
        <f t="shared" ca="1" si="10"/>
        <v>0.29218967013401337</v>
      </c>
      <c r="R8" s="32">
        <f t="shared" ca="1" si="11"/>
        <v>0.15734654643928492</v>
      </c>
      <c r="S8" s="16">
        <f t="shared" ca="1" si="3"/>
        <v>235.00013984601208</v>
      </c>
      <c r="T8" s="27">
        <f t="shared" ca="1" si="4"/>
        <v>66.837462998215329</v>
      </c>
      <c r="U8" s="29">
        <f t="shared" ca="1" si="12"/>
        <v>6.7162468264357047</v>
      </c>
    </row>
    <row r="9" spans="2:21" ht="15" thickBot="1" x14ac:dyDescent="0.4">
      <c r="E9" s="20">
        <v>84.762299739543451</v>
      </c>
      <c r="F9" s="13">
        <v>3</v>
      </c>
      <c r="H9" s="16">
        <f t="shared" ca="1" si="5"/>
        <v>250.00000028521109</v>
      </c>
      <c r="I9" s="38">
        <f t="shared" ca="1" si="6"/>
        <v>28.164928941731592</v>
      </c>
      <c r="J9" s="38">
        <f t="shared" ca="1" si="7"/>
        <v>7.4397925506460814</v>
      </c>
      <c r="K9" s="38">
        <f t="shared" ca="1" si="8"/>
        <v>64.830295944721556</v>
      </c>
      <c r="L9" s="2"/>
      <c r="M9" s="16">
        <f t="shared" si="0"/>
        <v>320.88584901398593</v>
      </c>
      <c r="N9" s="36">
        <f t="shared" si="9"/>
        <v>33.603087530108731</v>
      </c>
      <c r="O9" s="32">
        <f t="shared" ca="1" si="1"/>
        <v>0.52516182650530119</v>
      </c>
      <c r="P9" s="31">
        <f t="shared" ca="1" si="2"/>
        <v>0.81557902661036041</v>
      </c>
      <c r="Q9" s="17">
        <f t="shared" ca="1" si="10"/>
        <v>0.32987656802670717</v>
      </c>
      <c r="R9" s="32">
        <f t="shared" ca="1" si="11"/>
        <v>0.16547783904141675</v>
      </c>
      <c r="S9" s="16">
        <f t="shared" ca="1" si="3"/>
        <v>235.0000002680984</v>
      </c>
      <c r="T9" s="27">
        <f t="shared" ca="1" si="4"/>
        <v>64.830295944721556</v>
      </c>
      <c r="U9" s="29">
        <f t="shared" ca="1" si="12"/>
        <v>6.9934049976073158</v>
      </c>
    </row>
    <row r="10" spans="2:21" ht="15" thickBot="1" x14ac:dyDescent="0.4">
      <c r="B10" s="84" t="s">
        <v>23</v>
      </c>
      <c r="C10" s="86"/>
      <c r="E10" s="20">
        <v>85.506532191384508</v>
      </c>
      <c r="F10" s="13">
        <v>3.5</v>
      </c>
      <c r="H10" s="16">
        <f t="shared" ca="1" si="5"/>
        <v>250.00049618405023</v>
      </c>
      <c r="I10" s="38">
        <f t="shared" ca="1" si="6"/>
        <v>27.919842185198924</v>
      </c>
      <c r="J10" s="38">
        <f t="shared" ca="1" si="7"/>
        <v>7.3750526526940554</v>
      </c>
      <c r="K10" s="38">
        <f t="shared" ca="1" si="8"/>
        <v>59.830492029377965</v>
      </c>
      <c r="L10" s="2"/>
      <c r="M10" s="16">
        <f t="shared" si="0"/>
        <v>323.70330043881279</v>
      </c>
      <c r="N10" s="36">
        <f t="shared" si="9"/>
        <v>33.898130353378129</v>
      </c>
      <c r="O10" s="32">
        <f t="shared" ca="1" si="1"/>
        <v>0.60735607183910423</v>
      </c>
      <c r="P10" s="31">
        <f t="shared" ca="1" si="2"/>
        <v>0.89276289085030736</v>
      </c>
      <c r="Q10" s="17">
        <f t="shared" ca="1" si="10"/>
        <v>0.32133841149733494</v>
      </c>
      <c r="R10" s="32">
        <f t="shared" ca="1" si="11"/>
        <v>0.15006910301495752</v>
      </c>
      <c r="S10" s="16">
        <f t="shared" ca="1" si="3"/>
        <v>235.00046641300722</v>
      </c>
      <c r="T10" s="27">
        <f t="shared" ca="1" si="4"/>
        <v>59.830492029377965</v>
      </c>
      <c r="U10" s="29">
        <f t="shared" ca="1" si="12"/>
        <v>6.9325494935324121</v>
      </c>
    </row>
    <row r="11" spans="2:21" x14ac:dyDescent="0.35">
      <c r="B11" s="7" t="s">
        <v>25</v>
      </c>
      <c r="C11" s="40">
        <f ca="1">INDIRECT($C$3&amp;"!$c$2")</f>
        <v>0.34</v>
      </c>
      <c r="E11" s="20">
        <v>88.930317644789667</v>
      </c>
      <c r="F11" s="13">
        <v>4</v>
      </c>
      <c r="H11" s="16">
        <f t="shared" ca="1" si="5"/>
        <v>250.00000017285353</v>
      </c>
      <c r="I11" s="38">
        <f t="shared" ca="1" si="6"/>
        <v>26.844884975724927</v>
      </c>
      <c r="J11" s="38">
        <f t="shared" ca="1" si="7"/>
        <v>7.0911016917009242</v>
      </c>
      <c r="K11" s="38">
        <f t="shared" ca="1" si="8"/>
        <v>53.908055653630711</v>
      </c>
      <c r="L11" s="2"/>
      <c r="M11" s="16">
        <f t="shared" si="0"/>
        <v>336.66477394098945</v>
      </c>
      <c r="N11" s="36">
        <f t="shared" si="9"/>
        <v>35.25545268451603</v>
      </c>
      <c r="O11" s="32">
        <f t="shared" ca="1" si="1"/>
        <v>0.66739780581628572</v>
      </c>
      <c r="P11" s="31">
        <f t="shared" ca="1" si="2"/>
        <v>0.93319955836946078</v>
      </c>
      <c r="Q11" s="17">
        <f t="shared" ca="1" si="10"/>
        <v>0.28563415058356417</v>
      </c>
      <c r="R11" s="32">
        <f t="shared" ca="1" si="11"/>
        <v>0.12500324303449606</v>
      </c>
      <c r="S11" s="16">
        <f t="shared" ca="1" si="3"/>
        <v>235.00000016248231</v>
      </c>
      <c r="T11" s="27">
        <f t="shared" ca="1" si="4"/>
        <v>53.908055653630711</v>
      </c>
      <c r="U11" s="29">
        <f t="shared" ca="1" si="12"/>
        <v>6.6656355901988684</v>
      </c>
    </row>
    <row r="12" spans="2:21" x14ac:dyDescent="0.35">
      <c r="B12" s="7" t="s">
        <v>41</v>
      </c>
      <c r="C12" s="40">
        <f ca="1">INDIRECT($C$3&amp;"!$c$3")</f>
        <v>0.74189000000000005</v>
      </c>
      <c r="E12" s="20">
        <v>93.812676535366109</v>
      </c>
      <c r="F12" s="13">
        <v>4.5</v>
      </c>
      <c r="H12" s="16">
        <f t="shared" ca="1" si="5"/>
        <v>250.00000097767915</v>
      </c>
      <c r="I12" s="38">
        <f t="shared" ca="1" si="6"/>
        <v>25.447777889745954</v>
      </c>
      <c r="J12" s="38">
        <f t="shared" ca="1" si="7"/>
        <v>6.7220545369140261</v>
      </c>
      <c r="K12" s="38">
        <f t="shared" ca="1" si="8"/>
        <v>48.06780431685192</v>
      </c>
      <c r="L12" s="2"/>
      <c r="M12" s="16">
        <f t="shared" si="0"/>
        <v>355.14798974102882</v>
      </c>
      <c r="N12" s="36">
        <f t="shared" si="9"/>
        <v>37.191010516919981</v>
      </c>
      <c r="O12" s="32">
        <f t="shared" ca="1" si="1"/>
        <v>0.71174694818392659</v>
      </c>
      <c r="P12" s="31">
        <f t="shared" ca="1" si="2"/>
        <v>0.94205636946645677</v>
      </c>
      <c r="Q12" s="17">
        <f t="shared" ca="1" si="10"/>
        <v>0.24331847297311948</v>
      </c>
      <c r="R12" s="32">
        <f t="shared" ca="1" si="11"/>
        <v>0.10016097194024566</v>
      </c>
      <c r="S12" s="16">
        <f t="shared" ca="1" si="3"/>
        <v>235.00000091901839</v>
      </c>
      <c r="T12" s="27">
        <f t="shared" ca="1" si="4"/>
        <v>48.06780431685192</v>
      </c>
      <c r="U12" s="29">
        <f t="shared" ca="1" si="12"/>
        <v>6.3187312646991831</v>
      </c>
    </row>
    <row r="13" spans="2:21" x14ac:dyDescent="0.35">
      <c r="B13" s="7" t="s">
        <v>40</v>
      </c>
      <c r="C13" s="40">
        <f ca="1">INDIRECT($C$3&amp;"!$c$4")</f>
        <v>0.87280999999999997</v>
      </c>
      <c r="E13" s="20">
        <v>99.532070250878576</v>
      </c>
      <c r="F13" s="13">
        <v>5</v>
      </c>
      <c r="H13" s="16">
        <f t="shared" ca="1" si="5"/>
        <v>250.00000215712956</v>
      </c>
      <c r="I13" s="38">
        <f t="shared" ca="1" si="6"/>
        <v>23.985476851431478</v>
      </c>
      <c r="J13" s="38">
        <f t="shared" ca="1" si="7"/>
        <v>6.3357863381139756</v>
      </c>
      <c r="K13" s="38">
        <f t="shared" ca="1" si="8"/>
        <v>42.678781775827005</v>
      </c>
      <c r="L13" s="2"/>
      <c r="M13" s="16">
        <f t="shared" si="0"/>
        <v>376.79998023546887</v>
      </c>
      <c r="N13" s="36">
        <f t="shared" si="9"/>
        <v>39.45840165935094</v>
      </c>
      <c r="O13" s="32">
        <f t="shared" ca="1" si="1"/>
        <v>0.745386621581827</v>
      </c>
      <c r="P13" s="31">
        <f t="shared" ca="1" si="2"/>
        <v>0.9279816603897757</v>
      </c>
      <c r="Q13" s="17">
        <f t="shared" ca="1" si="10"/>
        <v>0.2037373028671137</v>
      </c>
      <c r="R13" s="32">
        <f t="shared" ca="1" si="11"/>
        <v>7.9004756511534643E-2</v>
      </c>
      <c r="S13" s="16">
        <f t="shared" ca="1" si="3"/>
        <v>235.00000202770178</v>
      </c>
      <c r="T13" s="27">
        <f t="shared" ca="1" si="4"/>
        <v>42.678781775827005</v>
      </c>
      <c r="U13" s="29">
        <f t="shared" ca="1" si="12"/>
        <v>5.9556391578271368</v>
      </c>
    </row>
    <row r="14" spans="2:21" ht="15" thickBot="1" x14ac:dyDescent="0.4">
      <c r="B14" s="8" t="s">
        <v>26</v>
      </c>
      <c r="C14" s="44">
        <f ca="1">INDIRECT($C$3&amp;"!$c$5")</f>
        <v>0.90920000000000001</v>
      </c>
      <c r="E14" s="20">
        <v>105.76878350924711</v>
      </c>
      <c r="F14" s="13">
        <v>5.5</v>
      </c>
      <c r="H14" s="16">
        <f t="shared" ca="1" si="5"/>
        <v>250.00000293119683</v>
      </c>
      <c r="I14" s="38">
        <f t="shared" ca="1" si="6"/>
        <v>22.571160366617811</v>
      </c>
      <c r="J14" s="38">
        <f t="shared" ca="1" si="7"/>
        <v>5.9621933043896105</v>
      </c>
      <c r="K14" s="38">
        <f t="shared" ca="1" si="8"/>
        <v>37.846115981137544</v>
      </c>
      <c r="L14" s="2"/>
      <c r="M14" s="16">
        <f t="shared" si="0"/>
        <v>400.41039471357834</v>
      </c>
      <c r="N14" s="36">
        <f t="shared" si="9"/>
        <v>41.930878481772233</v>
      </c>
      <c r="O14" s="32">
        <f t="shared" ca="1" si="1"/>
        <v>0.77157794799206814</v>
      </c>
      <c r="P14" s="31">
        <f t="shared" ca="1" si="2"/>
        <v>0.89910281343967902</v>
      </c>
      <c r="Q14" s="17">
        <f t="shared" ca="1" si="10"/>
        <v>0.16978023798301159</v>
      </c>
      <c r="R14" s="32">
        <f t="shared" ca="1" si="11"/>
        <v>6.2040258193066626E-2</v>
      </c>
      <c r="S14" s="16">
        <f t="shared" ca="1" si="3"/>
        <v>235.000002755325</v>
      </c>
      <c r="T14" s="27">
        <f t="shared" ca="1" si="4"/>
        <v>37.846115981137544</v>
      </c>
      <c r="U14" s="29">
        <f t="shared" ca="1" si="12"/>
        <v>5.6044617061262336</v>
      </c>
    </row>
    <row r="15" spans="2:21" ht="15" thickBot="1" x14ac:dyDescent="0.4">
      <c r="E15" s="20">
        <v>112.34609530465136</v>
      </c>
      <c r="F15" s="14">
        <v>6</v>
      </c>
      <c r="H15" s="18">
        <f t="shared" ca="1" si="5"/>
        <v>250.00000292793413</v>
      </c>
      <c r="I15" s="39">
        <f t="shared" ca="1" si="6"/>
        <v>21.249729844765699</v>
      </c>
      <c r="J15" s="39">
        <f t="shared" ca="1" si="7"/>
        <v>5.6131361854098074</v>
      </c>
      <c r="K15" s="39">
        <f t="shared" ca="1" si="8"/>
        <v>33.572348467989066</v>
      </c>
      <c r="L15" s="2"/>
      <c r="M15" s="18">
        <f t="shared" si="0"/>
        <v>425.31021793903727</v>
      </c>
      <c r="N15" s="22">
        <f t="shared" si="9"/>
        <v>44.538381872465116</v>
      </c>
      <c r="O15" s="34">
        <f t="shared" ca="1" si="1"/>
        <v>0.79244274630638611</v>
      </c>
      <c r="P15" s="33">
        <f t="shared" ca="1" si="2"/>
        <v>0.86157788537574997</v>
      </c>
      <c r="Q15" s="19">
        <f t="shared" ca="1" si="10"/>
        <v>0.14167255231227596</v>
      </c>
      <c r="R15" s="34">
        <f t="shared" ca="1" si="11"/>
        <v>4.8779018361078633E-2</v>
      </c>
      <c r="S15" s="18">
        <f t="shared" ca="1" si="3"/>
        <v>235.00000275225807</v>
      </c>
      <c r="T15" s="22">
        <f t="shared" ca="1" si="4"/>
        <v>33.572348467989066</v>
      </c>
      <c r="U15" s="29">
        <f t="shared" ca="1" si="12"/>
        <v>5.2763480142852188</v>
      </c>
    </row>
    <row r="16" spans="2:21" ht="15" thickBot="1" x14ac:dyDescent="0.4">
      <c r="B16" s="84" t="s">
        <v>29</v>
      </c>
      <c r="C16" s="86"/>
      <c r="E16" s="5"/>
      <c r="L16" s="2"/>
    </row>
    <row r="17" spans="2:21" x14ac:dyDescent="0.35">
      <c r="B17" s="23" t="s">
        <v>35</v>
      </c>
      <c r="C17" s="43">
        <f ca="1">INDIRECT($C$4&amp;"!$F$16")*85^4+INDIRECT($C$4&amp;"!$G$16")*85^3+INDIRECT($C$4&amp;"!$H$16")*85^2+INDIRECT($C$4&amp;"!$I$16")*85+INDIRECT($C$4&amp;"!$J$16")</f>
        <v>257.30190670440129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1"/>
      <c r="Q17" s="2"/>
      <c r="R17" s="2"/>
      <c r="S17" s="2"/>
      <c r="T17" s="2"/>
      <c r="U17" s="2"/>
    </row>
    <row r="18" spans="2:21" ht="15" thickBot="1" x14ac:dyDescent="0.4">
      <c r="B18" s="8" t="s">
        <v>37</v>
      </c>
      <c r="C18" s="24">
        <f>C5/C6</f>
        <v>3.7857142857142856</v>
      </c>
    </row>
    <row r="19" spans="2:21" x14ac:dyDescent="0.35">
      <c r="G19" s="21" t="s">
        <v>136</v>
      </c>
      <c r="H19" s="3">
        <v>250</v>
      </c>
    </row>
    <row r="20" spans="2:21" x14ac:dyDescent="0.35">
      <c r="H20" s="3" t="s">
        <v>147</v>
      </c>
    </row>
  </sheetData>
  <mergeCells count="9">
    <mergeCell ref="S2:U2"/>
    <mergeCell ref="B10:C10"/>
    <mergeCell ref="B16:C16"/>
    <mergeCell ref="H1:K1"/>
    <mergeCell ref="B2:C2"/>
    <mergeCell ref="E2:F2"/>
    <mergeCell ref="H2:I2"/>
    <mergeCell ref="M2:O2"/>
    <mergeCell ref="P2:R2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AJ58"/>
  <sheetViews>
    <sheetView topLeftCell="T1" zoomScaleNormal="100" workbookViewId="0">
      <selection activeCell="V11" sqref="V11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5" t="s">
        <v>103</v>
      </c>
      <c r="C1" s="46"/>
      <c r="D1" s="46"/>
      <c r="E1" s="46"/>
      <c r="F1" s="46"/>
      <c r="G1" s="46"/>
      <c r="H1" s="46" t="s">
        <v>38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14</v>
      </c>
      <c r="N1" s="47" t="s">
        <v>16</v>
      </c>
      <c r="P1" s="45" t="s">
        <v>104</v>
      </c>
      <c r="Q1" s="46"/>
      <c r="R1" s="46"/>
      <c r="S1" s="47"/>
      <c r="U1" s="45" t="s">
        <v>67</v>
      </c>
      <c r="V1" s="46"/>
      <c r="W1" s="46" t="s">
        <v>68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</row>
    <row r="2" spans="2:36" x14ac:dyDescent="0.35">
      <c r="B2" s="48" t="s">
        <v>21</v>
      </c>
      <c r="C2" s="49">
        <f>2*0.17</f>
        <v>0.34</v>
      </c>
      <c r="D2" s="50"/>
      <c r="E2" s="50"/>
      <c r="F2" s="50"/>
      <c r="G2" s="50"/>
      <c r="H2" s="50" t="s">
        <v>60</v>
      </c>
      <c r="I2" s="50">
        <f t="array" ref="I2:N2">LINEST($C$8:$C$29,$B$8:$B$29^{1,2,3,4,5})</f>
        <v>-106.83515648109255</v>
      </c>
      <c r="J2" s="50">
        <v>129.56981878300573</v>
      </c>
      <c r="K2" s="50">
        <v>-67.491413688478602</v>
      </c>
      <c r="L2" s="50">
        <v>13.760711079738464</v>
      </c>
      <c r="M2" s="50">
        <v>2.0548775879293841</v>
      </c>
      <c r="N2" s="51">
        <v>3.5186009375580696E-3</v>
      </c>
      <c r="P2" s="52" t="s">
        <v>85</v>
      </c>
      <c r="Q2" s="49" t="s">
        <v>84</v>
      </c>
      <c r="R2" s="49" t="s">
        <v>83</v>
      </c>
      <c r="S2" s="51"/>
      <c r="U2" s="48" t="s">
        <v>74</v>
      </c>
      <c r="V2" s="50">
        <v>15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1"/>
    </row>
    <row r="3" spans="2:36" x14ac:dyDescent="0.35">
      <c r="B3" s="48" t="s">
        <v>34</v>
      </c>
      <c r="C3" s="49">
        <f>B26</f>
        <v>0.41885</v>
      </c>
      <c r="D3" s="50"/>
      <c r="E3" s="50"/>
      <c r="F3" s="50"/>
      <c r="G3" s="50"/>
      <c r="H3" s="50"/>
      <c r="I3" s="50" t="s">
        <v>7</v>
      </c>
      <c r="J3" s="50" t="s">
        <v>8</v>
      </c>
      <c r="K3" s="50" t="s">
        <v>9</v>
      </c>
      <c r="L3" s="50" t="s">
        <v>10</v>
      </c>
      <c r="M3" s="50" t="s">
        <v>14</v>
      </c>
      <c r="N3" s="51" t="s">
        <v>16</v>
      </c>
      <c r="P3" s="57">
        <v>2.1458000000000001E-2</v>
      </c>
      <c r="Q3" s="58">
        <v>6.7920000000000003E-3</v>
      </c>
      <c r="R3" s="49">
        <v>76.066699999999997</v>
      </c>
      <c r="S3" s="51"/>
      <c r="U3" s="48" t="s">
        <v>69</v>
      </c>
      <c r="V3" s="61">
        <f>133.332*EXP(20.386-5132/($V$2+273.15))</f>
        <v>1752.2815195738651</v>
      </c>
      <c r="W3" s="61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1"/>
    </row>
    <row r="4" spans="2:36" x14ac:dyDescent="0.35">
      <c r="B4" s="48" t="s">
        <v>39</v>
      </c>
      <c r="C4" s="49">
        <f>B29</f>
        <v>0.48865999999999998</v>
      </c>
      <c r="D4" s="50"/>
      <c r="E4" s="50"/>
      <c r="F4" s="50"/>
      <c r="G4" s="50"/>
      <c r="H4" s="50" t="s">
        <v>51</v>
      </c>
      <c r="I4" s="50">
        <f t="array" ref="I4:N4">LINEST($E$8:$E$29,$B$8:$B$29^{1,2,3,4,5})</f>
        <v>3.0420685602996538</v>
      </c>
      <c r="J4" s="50">
        <v>-3.8760299098256268</v>
      </c>
      <c r="K4" s="50">
        <v>1.5693273300984119</v>
      </c>
      <c r="L4" s="50">
        <v>-0.2217704792017513</v>
      </c>
      <c r="M4" s="50">
        <v>8.1924159361393498E-3</v>
      </c>
      <c r="N4" s="51">
        <v>3.5195897315240723E-3</v>
      </c>
      <c r="P4" s="57">
        <v>3.4375000000000003E-2</v>
      </c>
      <c r="Q4" s="58">
        <v>9.9456000000000006E-3</v>
      </c>
      <c r="R4" s="49">
        <v>66.543000000000006</v>
      </c>
      <c r="S4" s="51"/>
      <c r="U4" s="48" t="s">
        <v>73</v>
      </c>
      <c r="V4" s="50">
        <f>101325+$V$5*$V$7*$V$6</f>
        <v>103335.36324999999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</row>
    <row r="5" spans="2:36" x14ac:dyDescent="0.35">
      <c r="B5" s="48" t="s">
        <v>24</v>
      </c>
      <c r="C5" s="50">
        <f>LARGE(C8:C30,1)</f>
        <v>0.92459999999999998</v>
      </c>
      <c r="D5" s="50"/>
      <c r="E5" s="50"/>
      <c r="F5" s="50"/>
      <c r="G5" s="50"/>
      <c r="H5" s="50"/>
      <c r="I5" s="50" t="s">
        <v>7</v>
      </c>
      <c r="J5" s="50" t="s">
        <v>8</v>
      </c>
      <c r="K5" s="50" t="s">
        <v>9</v>
      </c>
      <c r="L5" s="50" t="s">
        <v>10</v>
      </c>
      <c r="M5" s="50" t="s">
        <v>14</v>
      </c>
      <c r="N5" s="51" t="s">
        <v>16</v>
      </c>
      <c r="P5" s="57">
        <v>4.7292000000000001E-2</v>
      </c>
      <c r="Q5" s="58">
        <v>1.197E-2</v>
      </c>
      <c r="R5" s="49">
        <v>58.419499999999999</v>
      </c>
      <c r="S5" s="51"/>
      <c r="U5" s="48" t="s">
        <v>72</v>
      </c>
      <c r="V5" s="50">
        <v>1025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9"/>
    </row>
    <row r="6" spans="2:36" x14ac:dyDescent="0.35">
      <c r="B6" s="48"/>
      <c r="C6" s="50"/>
      <c r="D6" s="50" t="s">
        <v>107</v>
      </c>
      <c r="E6" s="50"/>
      <c r="F6" s="50"/>
      <c r="G6" s="50"/>
      <c r="H6" s="50" t="s">
        <v>52</v>
      </c>
      <c r="I6" s="50">
        <f t="array" ref="I6:N6">LINEST($D$8:$D$29,$B$8:$B$29^{1,2,3,4,5})</f>
        <v>8.3836882154648737</v>
      </c>
      <c r="J6" s="50">
        <v>-10.037500039798486</v>
      </c>
      <c r="K6" s="50">
        <v>3.8103000766290505</v>
      </c>
      <c r="L6" s="50">
        <v>-0.53167252169093215</v>
      </c>
      <c r="M6" s="50">
        <v>2.949660286534744E-2</v>
      </c>
      <c r="N6" s="51">
        <v>9.100466872065463E-3</v>
      </c>
      <c r="P6" s="57">
        <v>6.0207999999999998E-2</v>
      </c>
      <c r="Q6" s="58">
        <v>1.2891E-2</v>
      </c>
      <c r="R6" s="49">
        <v>51.665399999999998</v>
      </c>
      <c r="S6" s="51"/>
      <c r="U6" s="48" t="s">
        <v>70</v>
      </c>
      <c r="V6" s="50">
        <v>0.2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9"/>
    </row>
    <row r="7" spans="2:36" x14ac:dyDescent="0.35">
      <c r="B7" s="48" t="s">
        <v>0</v>
      </c>
      <c r="C7" s="50" t="s">
        <v>15</v>
      </c>
      <c r="D7" s="50" t="s">
        <v>105</v>
      </c>
      <c r="E7" s="50" t="s">
        <v>106</v>
      </c>
      <c r="F7" s="50"/>
      <c r="G7" s="50"/>
      <c r="H7" s="50"/>
      <c r="I7" s="50"/>
      <c r="J7" s="50"/>
      <c r="K7" s="50"/>
      <c r="L7" s="50"/>
      <c r="M7" s="50"/>
      <c r="N7" s="51"/>
      <c r="P7" s="57">
        <v>7.3124999999999996E-2</v>
      </c>
      <c r="Q7" s="58">
        <v>1.2952E-2</v>
      </c>
      <c r="R7" s="49">
        <v>46.106299999999997</v>
      </c>
      <c r="S7" s="51"/>
      <c r="U7" s="48" t="s">
        <v>71</v>
      </c>
      <c r="V7" s="50">
        <v>9.8066499999999994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x14ac:dyDescent="0.35">
      <c r="B8" s="52">
        <v>0</v>
      </c>
      <c r="C8" s="49">
        <v>0</v>
      </c>
      <c r="D8" s="49">
        <v>9.3139999999999994E-3</v>
      </c>
      <c r="E8" s="49">
        <v>3.6020000000000002E-3</v>
      </c>
      <c r="F8" s="50"/>
      <c r="G8" s="50"/>
      <c r="H8" s="50"/>
      <c r="I8" s="50"/>
      <c r="J8" s="50"/>
      <c r="K8" s="50"/>
      <c r="L8" s="50"/>
      <c r="M8" s="50"/>
      <c r="N8" s="51"/>
      <c r="P8" s="57">
        <v>8.6041999999999993E-2</v>
      </c>
      <c r="Q8" s="58">
        <v>1.2426E-2</v>
      </c>
      <c r="R8" s="49">
        <v>41.531599999999997</v>
      </c>
      <c r="S8" s="51"/>
      <c r="U8" s="48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1"/>
    </row>
    <row r="9" spans="2:36" x14ac:dyDescent="0.35">
      <c r="B9" s="52">
        <v>2.3269999999999999E-2</v>
      </c>
      <c r="C9" s="49">
        <v>6.1600000000000002E-2</v>
      </c>
      <c r="D9" s="49">
        <v>9.3559999999999997E-3</v>
      </c>
      <c r="E9" s="49">
        <v>3.5360000000000001E-3</v>
      </c>
      <c r="F9" s="50"/>
      <c r="G9" s="50"/>
      <c r="H9" s="50"/>
      <c r="I9" s="50"/>
      <c r="J9" s="50"/>
      <c r="K9" s="50"/>
      <c r="L9" s="50"/>
      <c r="M9" s="50"/>
      <c r="N9" s="51"/>
      <c r="P9" s="57">
        <v>9.8958000000000004E-2</v>
      </c>
      <c r="Q9" s="58">
        <v>1.1523E-2</v>
      </c>
      <c r="R9" s="49">
        <v>37.746200000000002</v>
      </c>
      <c r="S9" s="51"/>
      <c r="U9" s="48"/>
      <c r="V9" s="50"/>
      <c r="W9" s="50"/>
      <c r="X9" s="50"/>
      <c r="Y9" s="50" t="s">
        <v>10</v>
      </c>
      <c r="Z9" s="50">
        <v>0.17</v>
      </c>
      <c r="AA9" s="50"/>
      <c r="AB9" s="50"/>
      <c r="AC9" s="50"/>
      <c r="AD9" s="50"/>
      <c r="AE9" s="50"/>
      <c r="AF9" s="50"/>
      <c r="AG9" s="50"/>
      <c r="AH9" s="50"/>
      <c r="AI9" s="50"/>
      <c r="AJ9" s="51"/>
    </row>
    <row r="10" spans="2:36" x14ac:dyDescent="0.35">
      <c r="B10" s="52">
        <v>4.6539999999999998E-2</v>
      </c>
      <c r="C10" s="49">
        <v>0.12640000000000001</v>
      </c>
      <c r="D10" s="49">
        <v>9.4289999999999999E-3</v>
      </c>
      <c r="E10" s="49">
        <v>3.4719999999999998E-3</v>
      </c>
      <c r="F10" s="49"/>
      <c r="G10" s="49"/>
      <c r="H10" s="50"/>
      <c r="I10" s="50"/>
      <c r="J10" s="49"/>
      <c r="K10" s="50"/>
      <c r="L10" s="50"/>
      <c r="M10" s="50"/>
      <c r="N10" s="51"/>
      <c r="P10" s="57">
        <v>0.11187999999999999</v>
      </c>
      <c r="Q10" s="58">
        <v>1.0374E-2</v>
      </c>
      <c r="R10" s="49">
        <v>34.587899999999998</v>
      </c>
      <c r="S10" s="59"/>
      <c r="U10" s="48" t="s">
        <v>77</v>
      </c>
      <c r="V10" s="50" t="s">
        <v>78</v>
      </c>
      <c r="W10" s="50" t="s">
        <v>79</v>
      </c>
      <c r="X10" s="50" t="s">
        <v>80</v>
      </c>
      <c r="Y10" s="50" t="s">
        <v>76</v>
      </c>
      <c r="Z10" s="50" t="s">
        <v>86</v>
      </c>
      <c r="AA10" s="50" t="s">
        <v>87</v>
      </c>
      <c r="AB10" s="50" t="s">
        <v>76</v>
      </c>
      <c r="AC10" s="50"/>
      <c r="AD10" s="50"/>
      <c r="AE10" s="50"/>
      <c r="AF10" s="50"/>
      <c r="AG10" s="50"/>
      <c r="AH10" s="50"/>
      <c r="AI10" s="50"/>
      <c r="AJ10" s="51"/>
    </row>
    <row r="11" spans="2:36" x14ac:dyDescent="0.35">
      <c r="B11" s="52">
        <v>6.9809999999999997E-2</v>
      </c>
      <c r="C11" s="49">
        <v>0.1948</v>
      </c>
      <c r="D11" s="49">
        <v>9.5399999999999999E-3</v>
      </c>
      <c r="E11" s="49">
        <v>3.4190000000000002E-3</v>
      </c>
      <c r="F11" s="49"/>
      <c r="G11" s="49"/>
      <c r="H11" s="50"/>
      <c r="I11" s="50"/>
      <c r="J11" s="49"/>
      <c r="K11" s="50"/>
      <c r="L11" s="50"/>
      <c r="M11" s="50"/>
      <c r="N11" s="51"/>
      <c r="P11" s="57">
        <v>0.12479</v>
      </c>
      <c r="Q11" s="58">
        <v>9.0396999999999995E-3</v>
      </c>
      <c r="R11" s="49">
        <v>31.927900000000001</v>
      </c>
      <c r="S11" s="51"/>
      <c r="U11" s="48">
        <v>1</v>
      </c>
      <c r="V11" s="62" t="e">
        <f>#REF!</f>
        <v>#REF!</v>
      </c>
      <c r="W11" s="63" t="e">
        <f t="shared" ref="W11:W16" si="0">V11*0.2</f>
        <v>#REF!</v>
      </c>
      <c r="X11" s="63" t="e">
        <f t="shared" ref="X11:X16" si="1">SQRT(W11^2+U11^2)</f>
        <v>#REF!</v>
      </c>
      <c r="Y11" s="63" t="e">
        <f t="shared" ref="Y11:Y16" si="2">($V$3-$V$4-$V$5*$V$6*$V$7)/(0.5*$V$5*X11^2)</f>
        <v>#REF!</v>
      </c>
      <c r="Z11" s="63" t="e">
        <f>0.69375*$Z$9*V11</f>
        <v>#REF!</v>
      </c>
      <c r="AA11" s="63" t="e">
        <f t="shared" ref="AA11:AA16" si="3">SQRT(Z11^2+U11^2)</f>
        <v>#REF!</v>
      </c>
      <c r="AB11" s="63" t="e">
        <f t="shared" ref="AB11:AB16" si="4">($V$3-$V$4-$V$5*$V$6*$V$7)/(0.5*$V$5*AA11^2)</f>
        <v>#REF!</v>
      </c>
      <c r="AC11" s="50"/>
      <c r="AD11" s="50"/>
      <c r="AE11" s="50"/>
      <c r="AF11" s="50"/>
      <c r="AG11" s="50"/>
      <c r="AH11" s="50"/>
      <c r="AI11" s="50"/>
      <c r="AJ11" s="51"/>
    </row>
    <row r="12" spans="2:36" x14ac:dyDescent="0.35">
      <c r="B12" s="52">
        <v>9.3079999999999996E-2</v>
      </c>
      <c r="C12" s="49">
        <v>0.26650000000000001</v>
      </c>
      <c r="D12" s="49">
        <v>9.6900000000000007E-3</v>
      </c>
      <c r="E12" s="49">
        <v>3.385E-3</v>
      </c>
      <c r="F12" s="49"/>
      <c r="G12" s="49"/>
      <c r="H12" s="50"/>
      <c r="I12" s="50"/>
      <c r="J12" s="49"/>
      <c r="K12" s="50"/>
      <c r="L12" s="50"/>
      <c r="M12" s="50"/>
      <c r="N12" s="51"/>
      <c r="P12" s="57">
        <v>0.13771</v>
      </c>
      <c r="Q12" s="58">
        <v>7.5189999999999996E-3</v>
      </c>
      <c r="R12" s="49">
        <v>29.6661</v>
      </c>
      <c r="S12" s="51"/>
      <c r="U12" s="48">
        <v>2</v>
      </c>
      <c r="V12" s="62" t="e">
        <f>#REF!</f>
        <v>#REF!</v>
      </c>
      <c r="W12" s="63" t="e">
        <f t="shared" si="0"/>
        <v>#REF!</v>
      </c>
      <c r="X12" s="63" t="e">
        <f t="shared" si="1"/>
        <v>#REF!</v>
      </c>
      <c r="Y12" s="63" t="e">
        <f t="shared" si="2"/>
        <v>#REF!</v>
      </c>
      <c r="Z12" s="63" t="e">
        <f t="shared" ref="Z12:Z16" si="5">0.69375*$Z$9*V12</f>
        <v>#REF!</v>
      </c>
      <c r="AA12" s="63" t="e">
        <f t="shared" si="3"/>
        <v>#REF!</v>
      </c>
      <c r="AB12" s="63" t="e">
        <f t="shared" si="4"/>
        <v>#REF!</v>
      </c>
      <c r="AC12" s="50"/>
      <c r="AD12" s="50"/>
      <c r="AE12" s="50"/>
      <c r="AF12" s="50"/>
      <c r="AG12" s="50"/>
      <c r="AH12" s="50"/>
      <c r="AI12" s="50"/>
      <c r="AJ12" s="51"/>
    </row>
    <row r="13" spans="2:36" x14ac:dyDescent="0.35">
      <c r="B13" s="52">
        <v>0.11635</v>
      </c>
      <c r="C13" s="49">
        <v>0.34050000000000002</v>
      </c>
      <c r="D13" s="49">
        <v>9.8770000000000004E-3</v>
      </c>
      <c r="E13" s="49">
        <v>3.375E-3</v>
      </c>
      <c r="F13" s="49"/>
      <c r="G13" s="49"/>
      <c r="H13" s="50"/>
      <c r="I13" s="50"/>
      <c r="J13" s="49"/>
      <c r="K13" s="50"/>
      <c r="L13" s="50"/>
      <c r="M13" s="50"/>
      <c r="N13" s="51"/>
      <c r="P13" s="57">
        <v>0.15062999999999999</v>
      </c>
      <c r="Q13" s="58">
        <v>5.7210999999999998E-3</v>
      </c>
      <c r="R13" s="49">
        <v>27.725000000000001</v>
      </c>
      <c r="S13" s="51"/>
      <c r="U13" s="48">
        <v>3</v>
      </c>
      <c r="V13" s="62" t="e">
        <f>#REF!</f>
        <v>#REF!</v>
      </c>
      <c r="W13" s="63" t="e">
        <f t="shared" si="0"/>
        <v>#REF!</v>
      </c>
      <c r="X13" s="63" t="e">
        <f t="shared" si="1"/>
        <v>#REF!</v>
      </c>
      <c r="Y13" s="63" t="e">
        <f t="shared" si="2"/>
        <v>#REF!</v>
      </c>
      <c r="Z13" s="63" t="e">
        <f t="shared" si="5"/>
        <v>#REF!</v>
      </c>
      <c r="AA13" s="63" t="e">
        <f t="shared" si="3"/>
        <v>#REF!</v>
      </c>
      <c r="AB13" s="63" t="e">
        <f t="shared" si="4"/>
        <v>#REF!</v>
      </c>
      <c r="AC13" s="50"/>
      <c r="AD13" s="50"/>
      <c r="AE13" s="50"/>
      <c r="AF13" s="50"/>
      <c r="AG13" s="50"/>
      <c r="AH13" s="50"/>
      <c r="AI13" s="50"/>
      <c r="AJ13" s="51"/>
    </row>
    <row r="14" spans="2:36" x14ac:dyDescent="0.35">
      <c r="B14" s="52">
        <v>0.13961999999999999</v>
      </c>
      <c r="C14" s="49">
        <v>0.41539999999999999</v>
      </c>
      <c r="D14" s="49">
        <v>1.01E-2</v>
      </c>
      <c r="E14" s="49">
        <v>3.3930000000000002E-3</v>
      </c>
      <c r="F14" s="49"/>
      <c r="G14" s="49"/>
      <c r="H14" s="50"/>
      <c r="I14" s="50"/>
      <c r="J14" s="49"/>
      <c r="K14" s="50"/>
      <c r="L14" s="50"/>
      <c r="M14" s="50"/>
      <c r="N14" s="51"/>
      <c r="P14" s="57">
        <v>0.16353999999999999</v>
      </c>
      <c r="Q14" s="58">
        <v>3.2423E-3</v>
      </c>
      <c r="R14" s="49">
        <v>26.044499999999999</v>
      </c>
      <c r="S14" s="51"/>
      <c r="U14" s="48">
        <v>4</v>
      </c>
      <c r="V14" s="62" t="e">
        <f>#REF!</f>
        <v>#REF!</v>
      </c>
      <c r="W14" s="63" t="e">
        <f t="shared" si="0"/>
        <v>#REF!</v>
      </c>
      <c r="X14" s="63" t="e">
        <f t="shared" si="1"/>
        <v>#REF!</v>
      </c>
      <c r="Y14" s="63" t="e">
        <f t="shared" si="2"/>
        <v>#REF!</v>
      </c>
      <c r="Z14" s="63" t="e">
        <f t="shared" si="5"/>
        <v>#REF!</v>
      </c>
      <c r="AA14" s="63" t="e">
        <f t="shared" si="3"/>
        <v>#REF!</v>
      </c>
      <c r="AB14" s="63" t="e">
        <f t="shared" si="4"/>
        <v>#REF!</v>
      </c>
      <c r="AC14" s="50"/>
      <c r="AD14" s="50"/>
      <c r="AE14" s="50"/>
      <c r="AF14" s="50"/>
      <c r="AG14" s="50"/>
      <c r="AH14" s="50"/>
      <c r="AI14" s="50"/>
      <c r="AJ14" s="51"/>
    </row>
    <row r="15" spans="2:36" ht="15" thickBot="1" x14ac:dyDescent="0.4">
      <c r="B15" s="52">
        <v>0.16289000000000001</v>
      </c>
      <c r="C15" s="49">
        <v>0.48930000000000001</v>
      </c>
      <c r="D15" s="49">
        <v>1.034E-2</v>
      </c>
      <c r="E15" s="49">
        <v>3.4429999999999999E-3</v>
      </c>
      <c r="F15" s="49"/>
      <c r="G15" s="49"/>
      <c r="H15" s="50"/>
      <c r="I15" s="50"/>
      <c r="J15" s="49"/>
      <c r="K15" s="50"/>
      <c r="L15" s="50"/>
      <c r="M15" s="50"/>
      <c r="N15" s="51"/>
      <c r="P15" s="60">
        <v>0.17</v>
      </c>
      <c r="Q15" s="55">
        <v>1.7477E-3</v>
      </c>
      <c r="R15" s="55">
        <v>25.302</v>
      </c>
      <c r="S15" s="56"/>
      <c r="U15" s="48">
        <v>5</v>
      </c>
      <c r="V15" s="62" t="e">
        <f>#REF!</f>
        <v>#REF!</v>
      </c>
      <c r="W15" s="63" t="e">
        <f t="shared" si="0"/>
        <v>#REF!</v>
      </c>
      <c r="X15" s="63" t="e">
        <f t="shared" si="1"/>
        <v>#REF!</v>
      </c>
      <c r="Y15" s="63" t="e">
        <f t="shared" si="2"/>
        <v>#REF!</v>
      </c>
      <c r="Z15" s="63" t="e">
        <f t="shared" si="5"/>
        <v>#REF!</v>
      </c>
      <c r="AA15" s="63" t="e">
        <f t="shared" si="3"/>
        <v>#REF!</v>
      </c>
      <c r="AB15" s="63" t="e">
        <f t="shared" si="4"/>
        <v>#REF!</v>
      </c>
      <c r="AC15" s="50"/>
      <c r="AD15" s="50" t="s">
        <v>98</v>
      </c>
      <c r="AE15" s="50">
        <v>6.3526999999999996</v>
      </c>
      <c r="AF15" s="64" t="s">
        <v>96</v>
      </c>
      <c r="AG15" s="64"/>
      <c r="AH15" s="50"/>
      <c r="AI15" s="50"/>
      <c r="AJ15" s="51"/>
    </row>
    <row r="16" spans="2:36" x14ac:dyDescent="0.35">
      <c r="B16" s="52">
        <v>0.18615999999999999</v>
      </c>
      <c r="C16" s="49">
        <v>0.56040000000000001</v>
      </c>
      <c r="D16" s="49">
        <v>1.061E-2</v>
      </c>
      <c r="E16" s="49">
        <v>3.5239999999999998E-3</v>
      </c>
      <c r="F16" s="49"/>
      <c r="G16" s="49"/>
      <c r="H16" s="50"/>
      <c r="I16" s="50"/>
      <c r="J16" s="49"/>
      <c r="K16" s="50"/>
      <c r="L16" s="50"/>
      <c r="M16" s="50"/>
      <c r="N16" s="51"/>
      <c r="U16" s="48">
        <v>6</v>
      </c>
      <c r="V16" s="62" t="e">
        <f>#REF!</f>
        <v>#REF!</v>
      </c>
      <c r="W16" s="63" t="e">
        <f t="shared" si="0"/>
        <v>#REF!</v>
      </c>
      <c r="X16" s="63" t="e">
        <f t="shared" si="1"/>
        <v>#REF!</v>
      </c>
      <c r="Y16" s="63" t="e">
        <f t="shared" si="2"/>
        <v>#REF!</v>
      </c>
      <c r="Z16" s="63" t="e">
        <f t="shared" si="5"/>
        <v>#REF!</v>
      </c>
      <c r="AA16" s="63" t="e">
        <f t="shared" si="3"/>
        <v>#REF!</v>
      </c>
      <c r="AB16" s="63" t="e">
        <f t="shared" si="4"/>
        <v>#REF!</v>
      </c>
      <c r="AC16" s="50"/>
      <c r="AD16" s="50" t="s">
        <v>99</v>
      </c>
      <c r="AE16" s="50">
        <v>0.43209999999999998</v>
      </c>
      <c r="AF16" s="64" t="s">
        <v>97</v>
      </c>
      <c r="AG16" s="64"/>
      <c r="AH16" s="50"/>
      <c r="AI16" s="50"/>
      <c r="AJ16" s="51"/>
    </row>
    <row r="17" spans="2:36" x14ac:dyDescent="0.35">
      <c r="B17" s="52">
        <v>0.20942</v>
      </c>
      <c r="C17" s="49">
        <v>0.62690000000000001</v>
      </c>
      <c r="D17" s="49">
        <v>1.089E-2</v>
      </c>
      <c r="E17" s="49">
        <v>3.6380000000000002E-3</v>
      </c>
      <c r="F17" s="49"/>
      <c r="G17" s="49"/>
      <c r="H17" s="50"/>
      <c r="I17" s="50"/>
      <c r="J17" s="49"/>
      <c r="K17" s="50"/>
      <c r="L17" s="50"/>
      <c r="M17" s="50"/>
      <c r="N17" s="51"/>
      <c r="U17" s="48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1"/>
    </row>
    <row r="18" spans="2:36" x14ac:dyDescent="0.35">
      <c r="B18" s="52">
        <v>0.23269000000000001</v>
      </c>
      <c r="C18" s="49">
        <v>0.68730000000000002</v>
      </c>
      <c r="D18" s="49">
        <v>1.1180000000000001E-2</v>
      </c>
      <c r="E18" s="49">
        <v>3.7859999999999999E-3</v>
      </c>
      <c r="F18" s="49"/>
      <c r="G18" s="49"/>
      <c r="H18" s="50"/>
      <c r="I18" s="50"/>
      <c r="J18" s="49"/>
      <c r="K18" s="50"/>
      <c r="L18" s="50"/>
      <c r="M18" s="50"/>
      <c r="N18" s="51"/>
      <c r="U18" s="48"/>
      <c r="V18" s="50"/>
      <c r="W18" s="50"/>
      <c r="X18" s="50"/>
      <c r="Y18" s="50"/>
      <c r="Z18" s="50"/>
      <c r="AA18" s="50"/>
      <c r="AB18" s="50">
        <v>0.13875000000000001</v>
      </c>
      <c r="AC18" s="50"/>
      <c r="AD18" s="50"/>
      <c r="AE18" s="50"/>
      <c r="AF18" s="50"/>
      <c r="AG18" s="50"/>
      <c r="AH18" s="50"/>
      <c r="AI18" s="50"/>
      <c r="AJ18" s="51"/>
    </row>
    <row r="19" spans="2:36" x14ac:dyDescent="0.35">
      <c r="B19" s="52">
        <v>0.25596000000000002</v>
      </c>
      <c r="C19" s="49">
        <v>0.74060000000000004</v>
      </c>
      <c r="D19" s="49">
        <v>1.1480000000000001E-2</v>
      </c>
      <c r="E19" s="49">
        <v>3.9680000000000002E-3</v>
      </c>
      <c r="F19" s="49"/>
      <c r="G19" s="49"/>
      <c r="H19" s="50"/>
      <c r="I19" s="50"/>
      <c r="J19" s="49"/>
      <c r="K19" s="50"/>
      <c r="L19" s="50"/>
      <c r="M19" s="50"/>
      <c r="N19" s="51"/>
      <c r="U19" s="48" t="s">
        <v>81</v>
      </c>
      <c r="V19" s="50" t="s">
        <v>63</v>
      </c>
      <c r="W19" s="50"/>
      <c r="X19" s="50">
        <v>32.045000000000002</v>
      </c>
      <c r="Y19" s="50"/>
      <c r="Z19" s="50"/>
      <c r="AA19" s="50"/>
      <c r="AB19" s="50" t="s">
        <v>88</v>
      </c>
      <c r="AC19" s="50"/>
      <c r="AD19" s="50" t="s">
        <v>63</v>
      </c>
      <c r="AE19" s="50">
        <v>41.469200000000001</v>
      </c>
      <c r="AF19" s="50"/>
      <c r="AG19" s="50"/>
      <c r="AH19" s="50"/>
      <c r="AI19" s="50"/>
      <c r="AJ19" s="51"/>
    </row>
    <row r="20" spans="2:36" x14ac:dyDescent="0.35">
      <c r="B20" s="52">
        <v>0.27922999999999998</v>
      </c>
      <c r="C20" s="49">
        <v>0.78639999999999999</v>
      </c>
      <c r="D20" s="49">
        <v>1.1780000000000001E-2</v>
      </c>
      <c r="E20" s="49">
        <v>4.1830000000000001E-3</v>
      </c>
      <c r="F20" s="49"/>
      <c r="G20" s="49"/>
      <c r="H20" s="50"/>
      <c r="I20" s="50"/>
      <c r="J20" s="49"/>
      <c r="K20" s="50"/>
      <c r="L20" s="50"/>
      <c r="M20" s="50"/>
      <c r="N20" s="51"/>
      <c r="U20" s="48" t="s">
        <v>77</v>
      </c>
      <c r="V20" s="50" t="s">
        <v>64</v>
      </c>
      <c r="W20" s="50" t="s">
        <v>95</v>
      </c>
      <c r="X20" s="50" t="s">
        <v>82</v>
      </c>
      <c r="Y20" s="50" t="s">
        <v>75</v>
      </c>
      <c r="Z20" s="50" t="s">
        <v>100</v>
      </c>
      <c r="AA20" s="50"/>
      <c r="AB20" s="50" t="s">
        <v>64</v>
      </c>
      <c r="AC20" s="50" t="s">
        <v>95</v>
      </c>
      <c r="AD20" s="50" t="s">
        <v>82</v>
      </c>
      <c r="AE20" s="50" t="s">
        <v>75</v>
      </c>
      <c r="AF20" s="50" t="s">
        <v>100</v>
      </c>
      <c r="AG20" s="50"/>
      <c r="AH20" s="50"/>
      <c r="AI20" s="50"/>
      <c r="AJ20" s="51"/>
    </row>
    <row r="21" spans="2:36" x14ac:dyDescent="0.35">
      <c r="B21" s="52">
        <v>0.30249999999999999</v>
      </c>
      <c r="C21" s="49">
        <v>0.82450000000000001</v>
      </c>
      <c r="D21" s="49">
        <v>1.2070000000000001E-2</v>
      </c>
      <c r="E21" s="49">
        <v>4.4299999999999999E-3</v>
      </c>
      <c r="F21" s="49"/>
      <c r="G21" s="49"/>
      <c r="H21" s="50"/>
      <c r="I21" s="50"/>
      <c r="J21" s="49"/>
      <c r="K21" s="50"/>
      <c r="L21" s="50"/>
      <c r="M21" s="50"/>
      <c r="N21" s="51"/>
      <c r="U21" s="48">
        <v>1</v>
      </c>
      <c r="V21" s="50"/>
      <c r="W21" s="50"/>
      <c r="X21" s="50">
        <f t="shared" ref="X21:X26" si="6">(180/PI())*(W21-$AE$16)/$AE$15</f>
        <v>-3.8971628327487324</v>
      </c>
      <c r="Y21" s="50"/>
      <c r="Z21" s="50" t="e">
        <f t="shared" ref="Z21:Z26" si="7">Y11/Y21</f>
        <v>#REF!</v>
      </c>
      <c r="AA21" s="50"/>
      <c r="AB21" s="50">
        <v>87823</v>
      </c>
      <c r="AC21" s="50">
        <v>1.1518999999999999</v>
      </c>
      <c r="AD21" s="50">
        <f t="shared" ref="AD21:AD26" si="8">(180/PI())*(AC21-$AE$16)/$AE$15</f>
        <v>6.4919643763307979</v>
      </c>
      <c r="AE21" s="50">
        <v>-3</v>
      </c>
      <c r="AF21" s="50" t="e">
        <f t="shared" ref="AF21:AF26" si="9">AB11/AE21</f>
        <v>#REF!</v>
      </c>
      <c r="AG21" s="50"/>
      <c r="AH21" s="50"/>
      <c r="AI21" s="50"/>
      <c r="AJ21" s="51"/>
    </row>
    <row r="22" spans="2:36" x14ac:dyDescent="0.35">
      <c r="B22" s="52">
        <v>0.32577</v>
      </c>
      <c r="C22" s="49">
        <v>0.86260000000000003</v>
      </c>
      <c r="D22" s="49">
        <v>1.2359999999999999E-2</v>
      </c>
      <c r="E22" s="49">
        <v>4.6680000000000003E-3</v>
      </c>
      <c r="F22" s="49"/>
      <c r="G22" s="49"/>
      <c r="H22" s="50"/>
      <c r="I22" s="50"/>
      <c r="J22" s="49"/>
      <c r="K22" s="50"/>
      <c r="L22" s="50"/>
      <c r="M22" s="50"/>
      <c r="N22" s="51"/>
      <c r="U22" s="48">
        <v>2</v>
      </c>
      <c r="V22" s="50"/>
      <c r="W22" s="50"/>
      <c r="X22" s="50">
        <f t="shared" si="6"/>
        <v>-3.8971628327487324</v>
      </c>
      <c r="Y22" s="50"/>
      <c r="Z22" s="50" t="e">
        <f t="shared" si="7"/>
        <v>#REF!</v>
      </c>
      <c r="AA22" s="50"/>
      <c r="AB22" s="50">
        <v>92172</v>
      </c>
      <c r="AC22" s="50">
        <v>1.2205999999999999</v>
      </c>
      <c r="AD22" s="50">
        <f t="shared" si="8"/>
        <v>7.1115780921600917</v>
      </c>
      <c r="AE22" s="50">
        <v>-3</v>
      </c>
      <c r="AF22" s="50" t="e">
        <f t="shared" si="9"/>
        <v>#REF!</v>
      </c>
      <c r="AG22" s="50"/>
      <c r="AH22" s="50"/>
      <c r="AI22" s="50"/>
      <c r="AJ22" s="51"/>
    </row>
    <row r="23" spans="2:36" x14ac:dyDescent="0.35">
      <c r="B23" s="52">
        <v>0.34904000000000002</v>
      </c>
      <c r="C23" s="49">
        <v>0.90790000000000004</v>
      </c>
      <c r="D23" s="49">
        <v>1.153E-2</v>
      </c>
      <c r="E23" s="49">
        <v>4.4339999999999996E-3</v>
      </c>
      <c r="F23" s="49"/>
      <c r="G23" s="49"/>
      <c r="H23" s="50"/>
      <c r="I23" s="50"/>
      <c r="J23" s="49"/>
      <c r="K23" s="50"/>
      <c r="L23" s="50"/>
      <c r="M23" s="50"/>
      <c r="N23" s="51"/>
      <c r="U23" s="48">
        <v>3</v>
      </c>
      <c r="V23" s="50"/>
      <c r="W23" s="50"/>
      <c r="X23" s="50">
        <f t="shared" si="6"/>
        <v>-3.8971628327487324</v>
      </c>
      <c r="Y23" s="50"/>
      <c r="Z23" s="50" t="e">
        <f t="shared" si="7"/>
        <v>#REF!</v>
      </c>
      <c r="AA23" s="50"/>
      <c r="AB23" s="50">
        <v>98939</v>
      </c>
      <c r="AC23" s="50">
        <v>1.2571000000000001</v>
      </c>
      <c r="AD23" s="50">
        <f t="shared" si="8"/>
        <v>7.4407760634522218</v>
      </c>
      <c r="AE23" s="50">
        <v>-3</v>
      </c>
      <c r="AF23" s="50" t="e">
        <f t="shared" si="9"/>
        <v>#REF!</v>
      </c>
      <c r="AG23" s="50"/>
      <c r="AH23" s="50"/>
      <c r="AI23" s="50"/>
      <c r="AJ23" s="51"/>
    </row>
    <row r="24" spans="2:36" x14ac:dyDescent="0.35">
      <c r="B24" s="52">
        <v>0.37230999999999997</v>
      </c>
      <c r="C24" s="49">
        <v>0.91769999999999996</v>
      </c>
      <c r="D24" s="49">
        <v>1.0070000000000001E-2</v>
      </c>
      <c r="E24" s="49">
        <v>4.084E-3</v>
      </c>
      <c r="F24" s="49"/>
      <c r="G24" s="49"/>
      <c r="H24" s="50"/>
      <c r="I24" s="50"/>
      <c r="J24" s="49"/>
      <c r="K24" s="50"/>
      <c r="L24" s="50"/>
      <c r="M24" s="50"/>
      <c r="N24" s="51"/>
      <c r="U24" s="48">
        <v>4</v>
      </c>
      <c r="V24" s="50"/>
      <c r="W24" s="50"/>
      <c r="X24" s="50">
        <f t="shared" si="6"/>
        <v>-3.8971628327487324</v>
      </c>
      <c r="Y24" s="50"/>
      <c r="Z24" s="50" t="e">
        <f t="shared" si="7"/>
        <v>#REF!</v>
      </c>
      <c r="AA24" s="50"/>
      <c r="AB24" s="50">
        <v>107710</v>
      </c>
      <c r="AC24" s="50">
        <v>0.89049999999999996</v>
      </c>
      <c r="AD24" s="50">
        <f t="shared" si="8"/>
        <v>4.1343657545290879</v>
      </c>
      <c r="AE24" s="50">
        <v>-1.5</v>
      </c>
      <c r="AF24" s="50" t="e">
        <f t="shared" si="9"/>
        <v>#REF!</v>
      </c>
      <c r="AG24" s="50"/>
      <c r="AH24" s="50"/>
      <c r="AI24" s="50"/>
      <c r="AJ24" s="51"/>
    </row>
    <row r="25" spans="2:36" x14ac:dyDescent="0.35">
      <c r="B25" s="52">
        <v>0.39557999999999999</v>
      </c>
      <c r="C25" s="49">
        <v>0.92369999999999997</v>
      </c>
      <c r="D25" s="49">
        <v>8.5839999999999996E-3</v>
      </c>
      <c r="E25" s="49">
        <v>3.676E-3</v>
      </c>
      <c r="F25" s="49"/>
      <c r="G25" s="49"/>
      <c r="H25" s="50"/>
      <c r="I25" s="50"/>
      <c r="J25" s="49"/>
      <c r="K25" s="50"/>
      <c r="L25" s="50"/>
      <c r="M25" s="50"/>
      <c r="N25" s="51"/>
      <c r="U25" s="48">
        <v>5</v>
      </c>
      <c r="V25" s="50"/>
      <c r="W25" s="50"/>
      <c r="X25" s="50">
        <f t="shared" si="6"/>
        <v>-3.8971628327487324</v>
      </c>
      <c r="Y25" s="50"/>
      <c r="Z25" s="50" t="e">
        <f t="shared" si="7"/>
        <v>#REF!</v>
      </c>
      <c r="AA25" s="50"/>
      <c r="AB25" s="50">
        <v>125658</v>
      </c>
      <c r="AC25" s="50">
        <v>0.58919999999999995</v>
      </c>
      <c r="AD25" s="50">
        <f t="shared" si="8"/>
        <v>1.4169041449313255</v>
      </c>
      <c r="AE25" s="50">
        <v>-0.9</v>
      </c>
      <c r="AF25" s="50" t="e">
        <f t="shared" si="9"/>
        <v>#REF!</v>
      </c>
      <c r="AG25" s="50"/>
      <c r="AH25" s="50"/>
      <c r="AI25" s="50"/>
      <c r="AJ25" s="51"/>
    </row>
    <row r="26" spans="2:36" ht="15" thickBot="1" x14ac:dyDescent="0.4">
      <c r="B26" s="52">
        <v>0.41885</v>
      </c>
      <c r="C26" s="49">
        <v>0.92459999999999998</v>
      </c>
      <c r="D26" s="49">
        <v>7.0850000000000002E-3</v>
      </c>
      <c r="E26" s="49">
        <v>3.209E-3</v>
      </c>
      <c r="F26" s="49"/>
      <c r="G26" s="49"/>
      <c r="H26" s="50"/>
      <c r="I26" s="50"/>
      <c r="J26" s="50"/>
      <c r="K26" s="50"/>
      <c r="L26" s="50"/>
      <c r="M26" s="50"/>
      <c r="N26" s="51"/>
      <c r="U26" s="60">
        <v>6</v>
      </c>
      <c r="V26" s="55"/>
      <c r="W26" s="55"/>
      <c r="X26" s="55">
        <f t="shared" si="6"/>
        <v>-3.8971628327487324</v>
      </c>
      <c r="Y26" s="55"/>
      <c r="Z26" s="55" t="e">
        <f t="shared" si="7"/>
        <v>#REF!</v>
      </c>
      <c r="AA26" s="55"/>
      <c r="AB26" s="55">
        <v>143879</v>
      </c>
      <c r="AC26" s="55">
        <v>0.35170000000000001</v>
      </c>
      <c r="AD26" s="55">
        <f t="shared" si="8"/>
        <v>-0.72513744909279787</v>
      </c>
      <c r="AE26" s="55">
        <v>-0.7</v>
      </c>
      <c r="AF26" s="55" t="e">
        <f t="shared" si="9"/>
        <v>#REF!</v>
      </c>
      <c r="AG26" s="55"/>
      <c r="AH26" s="55"/>
      <c r="AI26" s="55"/>
      <c r="AJ26" s="56"/>
    </row>
    <row r="27" spans="2:36" x14ac:dyDescent="0.35">
      <c r="B27" s="52">
        <v>0.44212000000000001</v>
      </c>
      <c r="C27" s="49">
        <v>0.91759999999999997</v>
      </c>
      <c r="D27" s="49">
        <v>5.5669999999999999E-3</v>
      </c>
      <c r="E27" s="49">
        <v>2.6819999999999999E-3</v>
      </c>
      <c r="F27" s="49"/>
      <c r="G27" s="49"/>
      <c r="H27" s="50"/>
      <c r="I27" s="50"/>
      <c r="J27" s="50"/>
      <c r="K27" s="50"/>
      <c r="L27" s="50"/>
      <c r="M27" s="50"/>
      <c r="N27" s="51"/>
    </row>
    <row r="28" spans="2:36" x14ac:dyDescent="0.35">
      <c r="B28" s="52">
        <v>0.46539000000000003</v>
      </c>
      <c r="C28" s="49">
        <v>0.89280000000000004</v>
      </c>
      <c r="D28" s="49">
        <v>4.0239999999999998E-3</v>
      </c>
      <c r="E28" s="49">
        <v>2.098E-3</v>
      </c>
      <c r="F28" s="49"/>
      <c r="G28" s="49"/>
      <c r="H28" s="50"/>
      <c r="I28" s="50"/>
      <c r="J28" s="50"/>
      <c r="K28" s="50"/>
      <c r="L28" s="50"/>
      <c r="M28" s="50"/>
      <c r="N28" s="51"/>
    </row>
    <row r="29" spans="2:36" x14ac:dyDescent="0.35">
      <c r="B29" s="52">
        <v>0.48865999999999998</v>
      </c>
      <c r="C29" s="49">
        <v>0.82379999999999998</v>
      </c>
      <c r="D29" s="49">
        <v>2.454E-3</v>
      </c>
      <c r="E29" s="49">
        <v>1.456E-3</v>
      </c>
      <c r="F29" s="49"/>
      <c r="G29" s="49"/>
      <c r="H29" s="50"/>
      <c r="I29" s="50"/>
      <c r="J29" s="50"/>
      <c r="K29" s="50"/>
      <c r="L29" s="50"/>
      <c r="M29" s="50"/>
      <c r="N29" s="51"/>
    </row>
    <row r="30" spans="2:36" ht="15" thickBot="1" x14ac:dyDescent="0.4">
      <c r="B30" s="53">
        <v>0.51193</v>
      </c>
      <c r="C30" s="54">
        <v>0.57999999999999996</v>
      </c>
      <c r="D30" s="54">
        <v>8.5559999999999998E-4</v>
      </c>
      <c r="E30" s="54">
        <v>7.5520000000000003E-4</v>
      </c>
      <c r="F30" s="54"/>
      <c r="G30" s="54"/>
      <c r="H30" s="55"/>
      <c r="I30" s="55"/>
      <c r="J30" s="55"/>
      <c r="K30" s="55"/>
      <c r="L30" s="55"/>
      <c r="M30" s="55"/>
      <c r="N30" s="56"/>
    </row>
    <row r="31" spans="2:36" ht="15" thickBot="1" x14ac:dyDescent="0.4">
      <c r="F31" s="1"/>
      <c r="G31" s="1"/>
    </row>
    <row r="32" spans="2:36" x14ac:dyDescent="0.35">
      <c r="B32" s="45"/>
      <c r="C32" s="46">
        <v>1</v>
      </c>
      <c r="D32" s="46">
        <v>2</v>
      </c>
      <c r="E32" s="46">
        <v>3</v>
      </c>
      <c r="F32" s="46">
        <v>4</v>
      </c>
      <c r="G32" s="46">
        <v>5</v>
      </c>
      <c r="H32" s="46">
        <v>6</v>
      </c>
      <c r="I32" s="46"/>
      <c r="J32" s="46"/>
      <c r="K32" s="46"/>
      <c r="L32" s="46"/>
      <c r="M32" s="46"/>
      <c r="N32" s="46"/>
      <c r="O32" s="46"/>
      <c r="P32" s="46"/>
      <c r="Q32" s="47"/>
    </row>
    <row r="33" spans="2:17" x14ac:dyDescent="0.35">
      <c r="B33" s="48" t="s">
        <v>62</v>
      </c>
      <c r="C33" s="50" t="s">
        <v>64</v>
      </c>
      <c r="D33" s="50" t="s">
        <v>65</v>
      </c>
      <c r="E33" s="50" t="s">
        <v>64</v>
      </c>
      <c r="F33" s="50" t="s">
        <v>66</v>
      </c>
      <c r="G33" s="50" t="s">
        <v>64</v>
      </c>
      <c r="H33" s="50" t="s">
        <v>64</v>
      </c>
      <c r="I33" s="50"/>
      <c r="J33" s="50"/>
      <c r="K33" s="50"/>
      <c r="L33" s="50"/>
      <c r="M33" s="50"/>
      <c r="N33" s="50"/>
      <c r="O33" s="50"/>
      <c r="P33" s="50"/>
      <c r="Q33" s="51"/>
    </row>
    <row r="34" spans="2:17" x14ac:dyDescent="0.35">
      <c r="B34" s="48">
        <v>3.7100000000000001E-2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1"/>
    </row>
    <row r="35" spans="2:17" x14ac:dyDescent="0.35">
      <c r="B35" s="48">
        <v>4.3799999999999999E-2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1"/>
    </row>
    <row r="36" spans="2:17" x14ac:dyDescent="0.35">
      <c r="B36" s="48">
        <v>5.04E-2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1"/>
    </row>
    <row r="37" spans="2:17" x14ac:dyDescent="0.35">
      <c r="B37" s="48">
        <v>5.7099999999999998E-2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1"/>
    </row>
    <row r="38" spans="2:17" x14ac:dyDescent="0.35">
      <c r="B38" s="48">
        <v>6.3700000000000007E-2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1"/>
    </row>
    <row r="39" spans="2:17" x14ac:dyDescent="0.35">
      <c r="B39" s="48">
        <v>7.0400000000000004E-2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1"/>
    </row>
    <row r="40" spans="2:17" x14ac:dyDescent="0.35">
      <c r="B40" s="48">
        <v>7.6999999999999999E-2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1"/>
    </row>
    <row r="41" spans="2:17" x14ac:dyDescent="0.35">
      <c r="B41" s="48">
        <v>8.3699999999999997E-2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1"/>
    </row>
    <row r="42" spans="2:17" x14ac:dyDescent="0.35">
      <c r="B42" s="48">
        <v>9.0300000000000005E-2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1"/>
    </row>
    <row r="43" spans="2:17" x14ac:dyDescent="0.35">
      <c r="B43" s="48">
        <v>9.7000000000000003E-2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1"/>
    </row>
    <row r="44" spans="2:17" x14ac:dyDescent="0.35">
      <c r="B44" s="48">
        <v>0.1036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1"/>
    </row>
    <row r="45" spans="2:17" x14ac:dyDescent="0.35">
      <c r="B45" s="48">
        <v>0.1103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1"/>
    </row>
    <row r="46" spans="2:17" x14ac:dyDescent="0.35">
      <c r="B46" s="48">
        <v>0.1169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1"/>
    </row>
    <row r="47" spans="2:17" x14ac:dyDescent="0.35">
      <c r="B47" s="48">
        <v>0.1235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1"/>
    </row>
    <row r="48" spans="2:17" x14ac:dyDescent="0.35">
      <c r="B48" s="48">
        <v>0.13020000000000001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1"/>
    </row>
    <row r="49" spans="2:17" x14ac:dyDescent="0.35">
      <c r="B49" s="48">
        <v>0.1368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1"/>
    </row>
    <row r="50" spans="2:17" x14ac:dyDescent="0.35">
      <c r="B50" s="48">
        <v>0.14349999999999999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1"/>
    </row>
    <row r="51" spans="2:17" x14ac:dyDescent="0.35">
      <c r="B51" s="48">
        <v>0.15010000000000001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1"/>
    </row>
    <row r="52" spans="2:17" x14ac:dyDescent="0.35">
      <c r="B52" s="48">
        <v>0.15679999999999999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1"/>
    </row>
    <row r="53" spans="2:17" x14ac:dyDescent="0.35">
      <c r="B53" s="48">
        <v>0.16339999999999999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1"/>
    </row>
    <row r="54" spans="2:17" x14ac:dyDescent="0.35">
      <c r="B54" s="48">
        <v>0.1701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1"/>
    </row>
    <row r="55" spans="2:17" x14ac:dyDescent="0.35">
      <c r="B55" s="48">
        <v>0.1767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1"/>
    </row>
    <row r="56" spans="2:17" x14ac:dyDescent="0.35">
      <c r="B56" s="48">
        <v>0.18340000000000001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1"/>
    </row>
    <row r="57" spans="2:17" x14ac:dyDescent="0.35">
      <c r="B57" s="48">
        <v>0.19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1"/>
    </row>
    <row r="58" spans="2:17" ht="15" thickBot="1" x14ac:dyDescent="0.4">
      <c r="B58" s="60">
        <v>0.19670000000000001</v>
      </c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AJ66"/>
  <sheetViews>
    <sheetView topLeftCell="S1" zoomScaleNormal="100" workbookViewId="0">
      <selection activeCell="T11" sqref="T11:T1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5" t="s">
        <v>114</v>
      </c>
      <c r="C1" s="46"/>
      <c r="D1" s="46"/>
      <c r="E1" s="46"/>
      <c r="F1" s="46"/>
      <c r="G1" s="46"/>
      <c r="H1" s="46" t="s">
        <v>38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14</v>
      </c>
      <c r="N1" s="47" t="s">
        <v>16</v>
      </c>
      <c r="P1" s="45" t="s">
        <v>104</v>
      </c>
      <c r="Q1" s="46"/>
      <c r="R1" s="46"/>
      <c r="S1" s="47"/>
      <c r="U1" s="45" t="s">
        <v>67</v>
      </c>
      <c r="V1" s="46"/>
      <c r="W1" s="46" t="s">
        <v>68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</row>
    <row r="2" spans="2:36" x14ac:dyDescent="0.35">
      <c r="B2" s="48" t="s">
        <v>21</v>
      </c>
      <c r="C2" s="49">
        <v>0.2</v>
      </c>
      <c r="D2" s="50"/>
      <c r="E2" s="50"/>
      <c r="F2" s="50"/>
      <c r="G2" s="50"/>
      <c r="H2" s="50" t="s">
        <v>60</v>
      </c>
      <c r="I2" s="50">
        <f t="array" ref="I2:N2">LINEST($C$8:$C$30,$B$8:$B$30^{1,2,3,4,5})</f>
        <v>-10.040171089391661</v>
      </c>
      <c r="J2" s="50">
        <v>23.984275966714041</v>
      </c>
      <c r="K2" s="50">
        <v>-21.292806743270678</v>
      </c>
      <c r="L2" s="50">
        <v>7.2462465437343377</v>
      </c>
      <c r="M2" s="50">
        <v>0.74350050458563255</v>
      </c>
      <c r="N2" s="51">
        <v>5.3385027205206104E-3</v>
      </c>
      <c r="P2" s="52" t="s">
        <v>110</v>
      </c>
      <c r="Q2" s="49" t="s">
        <v>111</v>
      </c>
      <c r="R2" s="49" t="s">
        <v>83</v>
      </c>
      <c r="S2" s="51"/>
      <c r="U2" s="48" t="s">
        <v>74</v>
      </c>
      <c r="V2" s="50">
        <v>20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1"/>
    </row>
    <row r="3" spans="2:36" x14ac:dyDescent="0.35">
      <c r="B3" s="48" t="s">
        <v>34</v>
      </c>
      <c r="C3" s="49">
        <f>B28</f>
        <v>0.83882999999999996</v>
      </c>
      <c r="D3" s="50"/>
      <c r="E3" s="50"/>
      <c r="F3" s="50"/>
      <c r="G3" s="50"/>
      <c r="H3" s="50"/>
      <c r="I3" s="50" t="s">
        <v>7</v>
      </c>
      <c r="J3" s="50" t="s">
        <v>8</v>
      </c>
      <c r="K3" s="50" t="s">
        <v>9</v>
      </c>
      <c r="L3" s="50" t="s">
        <v>10</v>
      </c>
      <c r="M3" s="50" t="s">
        <v>14</v>
      </c>
      <c r="N3" s="51" t="s">
        <v>16</v>
      </c>
      <c r="P3" s="69"/>
      <c r="Q3" s="65"/>
      <c r="R3" s="65"/>
      <c r="S3" s="51"/>
      <c r="U3" s="48" t="s">
        <v>69</v>
      </c>
      <c r="V3" s="61">
        <f>133.332*EXP(20.386-5132/($V$2+273.15))</f>
        <v>2374.2721715276289</v>
      </c>
      <c r="W3" s="61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1"/>
    </row>
    <row r="4" spans="2:36" x14ac:dyDescent="0.35">
      <c r="B4" s="48" t="s">
        <v>39</v>
      </c>
      <c r="C4" s="49">
        <f>B31</f>
        <v>0.96465999999999996</v>
      </c>
      <c r="D4" s="50"/>
      <c r="E4" s="50"/>
      <c r="F4" s="50"/>
      <c r="G4" s="50"/>
      <c r="H4" s="50" t="s">
        <v>51</v>
      </c>
      <c r="I4" s="50">
        <f t="array" ref="I4:N4">LINEST($E$8:$E$31,$B$8:$B$31^{1,2,3,4,5})</f>
        <v>0.96442594334747356</v>
      </c>
      <c r="J4" s="50">
        <v>-1.7684763782450761</v>
      </c>
      <c r="K4" s="50">
        <v>0.5855186894220249</v>
      </c>
      <c r="L4" s="50">
        <v>0.25235903783466446</v>
      </c>
      <c r="M4" s="50">
        <v>-7.585808041113383E-2</v>
      </c>
      <c r="N4" s="51">
        <v>5.0363253783932777E-2</v>
      </c>
      <c r="P4" s="69"/>
      <c r="Q4" s="65"/>
      <c r="R4" s="65"/>
      <c r="S4" s="51"/>
      <c r="U4" s="48" t="s">
        <v>73</v>
      </c>
      <c r="V4" s="50">
        <f>101325+$V$5*$V$7*$V$6</f>
        <v>105245.20833749999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</row>
    <row r="5" spans="2:36" x14ac:dyDescent="0.35">
      <c r="B5" s="48" t="s">
        <v>24</v>
      </c>
      <c r="C5" s="50">
        <f>LARGE(C8:C91,1)/100000</f>
        <v>0.87822999999999996</v>
      </c>
      <c r="D5" s="50"/>
      <c r="E5" s="50"/>
      <c r="F5" s="50"/>
      <c r="G5" s="50"/>
      <c r="H5" s="50"/>
      <c r="I5" s="50" t="s">
        <v>7</v>
      </c>
      <c r="J5" s="50" t="s">
        <v>8</v>
      </c>
      <c r="K5" s="50" t="s">
        <v>9</v>
      </c>
      <c r="L5" s="50" t="s">
        <v>10</v>
      </c>
      <c r="M5" s="50" t="s">
        <v>14</v>
      </c>
      <c r="N5" s="51" t="s">
        <v>16</v>
      </c>
      <c r="P5" s="69"/>
      <c r="Q5" s="65"/>
      <c r="R5" s="65"/>
      <c r="S5" s="51"/>
      <c r="U5" s="48" t="s">
        <v>72</v>
      </c>
      <c r="V5" s="50">
        <v>1025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9"/>
    </row>
    <row r="6" spans="2:36" x14ac:dyDescent="0.35">
      <c r="B6" s="48"/>
      <c r="C6" s="50"/>
      <c r="D6" s="50"/>
      <c r="E6" s="50"/>
      <c r="F6" s="50"/>
      <c r="G6" s="50"/>
      <c r="H6" s="50" t="s">
        <v>52</v>
      </c>
      <c r="I6" s="50">
        <f t="array" ref="I6:N6">LINEST($D$8:$D$31,$B$8:$B$31^{1,2,3,4,5})</f>
        <v>0.52152398581392889</v>
      </c>
      <c r="J6" s="50">
        <v>-0.24382973963468832</v>
      </c>
      <c r="K6" s="50">
        <v>-1.0703275109288526</v>
      </c>
      <c r="L6" s="50">
        <v>0.7976017417236293</v>
      </c>
      <c r="M6" s="50">
        <v>-6.1255853901032116E-2</v>
      </c>
      <c r="N6" s="51">
        <v>6.1592482649242261E-2</v>
      </c>
      <c r="P6" s="69"/>
      <c r="Q6" s="65"/>
      <c r="R6" s="65"/>
      <c r="S6" s="51"/>
      <c r="U6" s="48" t="s">
        <v>70</v>
      </c>
      <c r="V6" s="50">
        <v>0.39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9"/>
    </row>
    <row r="7" spans="2:36" x14ac:dyDescent="0.35">
      <c r="B7" s="48" t="s">
        <v>0</v>
      </c>
      <c r="C7" s="50" t="s">
        <v>15</v>
      </c>
      <c r="D7" s="50" t="s">
        <v>50</v>
      </c>
      <c r="E7" s="50" t="s">
        <v>49</v>
      </c>
      <c r="F7" s="50"/>
      <c r="G7" s="50"/>
      <c r="H7" s="50"/>
      <c r="I7" s="50"/>
      <c r="J7" s="50"/>
      <c r="K7" s="50"/>
      <c r="L7" s="50"/>
      <c r="M7" s="50"/>
      <c r="N7" s="51"/>
      <c r="P7" s="69"/>
      <c r="Q7" s="65"/>
      <c r="R7" s="65"/>
      <c r="S7" s="51"/>
      <c r="U7" s="48" t="s">
        <v>71</v>
      </c>
      <c r="V7" s="50">
        <v>9.8066499999999994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x14ac:dyDescent="0.35">
      <c r="B8">
        <v>0</v>
      </c>
      <c r="C8">
        <v>0</v>
      </c>
      <c r="D8" s="68">
        <v>5.9790000000000003E-2</v>
      </c>
      <c r="E8" s="68">
        <v>4.9239999999999999E-2</v>
      </c>
      <c r="F8" s="50"/>
      <c r="G8" s="50"/>
      <c r="H8" s="50"/>
      <c r="I8" s="50"/>
      <c r="J8" s="50"/>
      <c r="K8" s="50"/>
      <c r="L8" s="50"/>
      <c r="M8" s="50"/>
      <c r="N8" s="51"/>
      <c r="P8" s="69"/>
      <c r="Q8" s="65"/>
      <c r="R8" s="65"/>
      <c r="S8" s="51"/>
      <c r="U8" s="48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1"/>
    </row>
    <row r="9" spans="2:36" x14ac:dyDescent="0.35">
      <c r="B9">
        <v>4.1939999999999998E-2</v>
      </c>
      <c r="C9">
        <v>5.3400000000000003E-2</v>
      </c>
      <c r="D9" s="68">
        <v>6.1150000000000003E-2</v>
      </c>
      <c r="E9" s="68">
        <v>4.8030000000000003E-2</v>
      </c>
      <c r="F9" s="50"/>
      <c r="G9" s="50"/>
      <c r="H9" s="50"/>
      <c r="I9" s="50"/>
      <c r="J9" s="50"/>
      <c r="K9" s="50"/>
      <c r="L9" s="50"/>
      <c r="M9" s="50"/>
      <c r="N9" s="51"/>
      <c r="P9" s="69"/>
      <c r="Q9" s="65"/>
      <c r="R9" s="65"/>
      <c r="S9" s="51"/>
      <c r="U9" s="48"/>
      <c r="V9" s="50"/>
      <c r="W9" s="50"/>
      <c r="X9" s="50"/>
      <c r="Y9" s="50" t="s">
        <v>109</v>
      </c>
      <c r="Z9" s="50">
        <v>0.22</v>
      </c>
      <c r="AA9" s="50"/>
      <c r="AB9" s="50"/>
      <c r="AC9" s="50"/>
      <c r="AD9" s="50"/>
      <c r="AE9" s="50"/>
      <c r="AF9" s="50"/>
      <c r="AG9" s="50"/>
      <c r="AH9" s="50"/>
      <c r="AI9" s="50"/>
      <c r="AJ9" s="51"/>
    </row>
    <row r="10" spans="2:36" x14ac:dyDescent="0.35">
      <c r="B10">
        <v>8.3879999999999996E-2</v>
      </c>
      <c r="C10">
        <v>0.1124</v>
      </c>
      <c r="D10" s="68">
        <v>6.3189999999999996E-2</v>
      </c>
      <c r="E10" s="68">
        <v>4.7140000000000001E-2</v>
      </c>
      <c r="F10" s="49"/>
      <c r="G10" s="49"/>
      <c r="H10" s="50"/>
      <c r="I10" s="50"/>
      <c r="J10" s="49"/>
      <c r="K10" s="50"/>
      <c r="L10" s="50"/>
      <c r="M10" s="50"/>
      <c r="N10" s="51"/>
      <c r="P10" s="69"/>
      <c r="Q10" s="65"/>
      <c r="R10" s="65"/>
      <c r="S10" s="59"/>
      <c r="T10" t="s">
        <v>6</v>
      </c>
      <c r="U10" s="48" t="s">
        <v>77</v>
      </c>
      <c r="V10" s="50" t="s">
        <v>78</v>
      </c>
      <c r="W10" s="50" t="s">
        <v>79</v>
      </c>
      <c r="X10" s="50" t="s">
        <v>80</v>
      </c>
      <c r="Y10" s="50" t="s">
        <v>76</v>
      </c>
      <c r="Z10" s="50" t="s">
        <v>86</v>
      </c>
      <c r="AA10" s="50" t="s">
        <v>87</v>
      </c>
      <c r="AB10" s="50" t="s">
        <v>76</v>
      </c>
      <c r="AC10" s="50"/>
      <c r="AD10" s="50"/>
      <c r="AE10" s="50"/>
      <c r="AF10" s="50"/>
      <c r="AG10" s="50"/>
      <c r="AH10" s="50"/>
      <c r="AI10" s="50"/>
      <c r="AJ10" s="51"/>
    </row>
    <row r="11" spans="2:36" x14ac:dyDescent="0.35">
      <c r="B11">
        <v>0.12583</v>
      </c>
      <c r="C11">
        <v>0.17760000000000001</v>
      </c>
      <c r="D11" s="68">
        <v>6.5939999999999999E-2</v>
      </c>
      <c r="E11" s="68">
        <v>4.6730000000000001E-2</v>
      </c>
      <c r="F11" s="49"/>
      <c r="G11" s="49"/>
      <c r="H11" s="50"/>
      <c r="I11" s="50"/>
      <c r="J11" s="49"/>
      <c r="K11" s="50"/>
      <c r="L11" s="50"/>
      <c r="M11" s="50"/>
      <c r="N11" s="51"/>
      <c r="P11" s="69"/>
      <c r="Q11" s="65"/>
      <c r="R11" s="65"/>
      <c r="S11" s="51"/>
      <c r="T11">
        <v>343</v>
      </c>
      <c r="U11" s="48">
        <v>1</v>
      </c>
      <c r="V11" s="62">
        <f>T11*PI()/30</f>
        <v>35.918876006043305</v>
      </c>
      <c r="W11" s="63">
        <f>V11*$Z$9</f>
        <v>7.9021527213295268</v>
      </c>
      <c r="X11" s="63">
        <f t="shared" ref="X11:X16" si="0">SQRT(W11^2+U11^2)</f>
        <v>7.9651753044873814</v>
      </c>
      <c r="Y11" s="63">
        <f t="shared" ref="Y11:Y16" si="1">($V$3-$V$4-$V$5*$V$6*$V$7)/(0.5*$V$5*X11^2)</f>
        <v>-3.2843595450723901</v>
      </c>
      <c r="Z11" s="63">
        <f>0.69375*$Z$9*V11</f>
        <v>5.4821184504223588</v>
      </c>
      <c r="AA11" s="63">
        <f t="shared" ref="AA11:AA16" si="2">SQRT(Z11^2+U11^2)</f>
        <v>5.5725777432406671</v>
      </c>
      <c r="AB11" s="63">
        <f t="shared" ref="AB11:AB16" si="3">($V$3-$V$4-$V$5*$V$6*$V$7)/(0.5*$V$5*AA11^2)</f>
        <v>-6.7101016479757991</v>
      </c>
      <c r="AC11" s="50"/>
      <c r="AD11" s="50"/>
      <c r="AE11" s="50"/>
      <c r="AF11" s="50"/>
      <c r="AG11" s="50"/>
      <c r="AH11" s="50"/>
      <c r="AI11" s="50"/>
      <c r="AJ11" s="51"/>
    </row>
    <row r="12" spans="2:36" x14ac:dyDescent="0.35">
      <c r="B12">
        <v>0.16777</v>
      </c>
      <c r="C12">
        <v>0.248</v>
      </c>
      <c r="D12" s="68">
        <v>6.9339999999999999E-2</v>
      </c>
      <c r="E12" s="68">
        <v>4.6920000000000003E-2</v>
      </c>
      <c r="F12" s="49"/>
      <c r="G12" s="49"/>
      <c r="H12" s="50"/>
      <c r="I12" s="50"/>
      <c r="J12" s="49"/>
      <c r="K12" s="50"/>
      <c r="L12" s="50"/>
      <c r="M12" s="50"/>
      <c r="N12" s="51"/>
      <c r="P12" s="69"/>
      <c r="Q12" s="65"/>
      <c r="R12" s="65"/>
      <c r="S12" s="51"/>
      <c r="T12">
        <v>343</v>
      </c>
      <c r="U12" s="48">
        <v>2</v>
      </c>
      <c r="V12" s="62">
        <f t="shared" ref="V12:V16" si="4">T12*PI()/30</f>
        <v>35.918876006043305</v>
      </c>
      <c r="W12" s="63">
        <f t="shared" ref="W12:W16" si="5">V12*$Z$9</f>
        <v>7.9021527213295268</v>
      </c>
      <c r="X12" s="63">
        <f t="shared" si="0"/>
        <v>8.1513199931799782</v>
      </c>
      <c r="Y12" s="63">
        <f t="shared" si="1"/>
        <v>-3.1360681113739535</v>
      </c>
      <c r="Z12" s="63">
        <f t="shared" ref="Z12:Z16" si="6">0.69375*$Z$9*V12</f>
        <v>5.4821184504223588</v>
      </c>
      <c r="AA12" s="63">
        <f t="shared" si="2"/>
        <v>5.8355481922833308</v>
      </c>
      <c r="AB12" s="63">
        <f t="shared" si="3"/>
        <v>-6.1189661579684413</v>
      </c>
      <c r="AC12" s="50"/>
      <c r="AD12" s="50"/>
      <c r="AE12" s="50"/>
      <c r="AF12" s="50"/>
      <c r="AG12" s="50"/>
      <c r="AH12" s="50"/>
      <c r="AI12" s="50"/>
      <c r="AJ12" s="51"/>
    </row>
    <row r="13" spans="2:36" x14ac:dyDescent="0.35">
      <c r="B13">
        <v>0.20971000000000001</v>
      </c>
      <c r="C13">
        <v>0.32150000000000001</v>
      </c>
      <c r="D13" s="68">
        <v>7.3279999999999998E-2</v>
      </c>
      <c r="E13" s="68">
        <v>4.7800000000000002E-2</v>
      </c>
      <c r="F13" s="49"/>
      <c r="G13" s="49"/>
      <c r="H13" s="50"/>
      <c r="I13" s="50"/>
      <c r="J13" s="49"/>
      <c r="K13" s="50"/>
      <c r="L13" s="50"/>
      <c r="M13" s="50"/>
      <c r="N13" s="51"/>
      <c r="P13" s="69"/>
      <c r="Q13" s="65"/>
      <c r="R13" s="65"/>
      <c r="S13" s="51"/>
      <c r="T13">
        <v>343</v>
      </c>
      <c r="U13" s="48">
        <v>3</v>
      </c>
      <c r="V13" s="62">
        <f t="shared" si="4"/>
        <v>35.918876006043305</v>
      </c>
      <c r="W13" s="63">
        <f t="shared" si="5"/>
        <v>7.9021527213295268</v>
      </c>
      <c r="X13" s="63">
        <f t="shared" si="0"/>
        <v>8.4524563075602845</v>
      </c>
      <c r="Y13" s="63">
        <f t="shared" si="1"/>
        <v>-2.9165908048511096</v>
      </c>
      <c r="Z13" s="63">
        <f t="shared" si="6"/>
        <v>5.4821184504223588</v>
      </c>
      <c r="AA13" s="63">
        <f t="shared" si="2"/>
        <v>6.24928977600345</v>
      </c>
      <c r="AB13" s="63">
        <f t="shared" si="3"/>
        <v>-5.3355604539350683</v>
      </c>
      <c r="AC13" s="50"/>
      <c r="AD13" s="50"/>
      <c r="AE13" s="50"/>
      <c r="AF13" s="50"/>
      <c r="AG13" s="50"/>
      <c r="AH13" s="50"/>
      <c r="AI13" s="50"/>
      <c r="AJ13" s="51"/>
    </row>
    <row r="14" spans="2:36" ht="15" thickBot="1" x14ac:dyDescent="0.4">
      <c r="B14">
        <v>0.25164999999999998</v>
      </c>
      <c r="C14">
        <v>0.39500000000000002</v>
      </c>
      <c r="D14" s="68">
        <v>7.7600000000000002E-2</v>
      </c>
      <c r="E14" s="68">
        <v>4.9439999999999998E-2</v>
      </c>
      <c r="F14" s="49"/>
      <c r="G14" s="49"/>
      <c r="H14" s="50"/>
      <c r="I14" s="50"/>
      <c r="J14" s="49"/>
      <c r="K14" s="50"/>
      <c r="L14" s="50"/>
      <c r="M14" s="50"/>
      <c r="N14" s="51"/>
      <c r="P14" s="60"/>
      <c r="Q14" s="55"/>
      <c r="R14" s="55"/>
      <c r="S14" s="56"/>
      <c r="T14">
        <v>343</v>
      </c>
      <c r="U14" s="48">
        <v>4</v>
      </c>
      <c r="V14" s="62">
        <f t="shared" si="4"/>
        <v>35.918876006043305</v>
      </c>
      <c r="W14" s="63">
        <f t="shared" si="5"/>
        <v>7.9021527213295268</v>
      </c>
      <c r="X14" s="63">
        <f t="shared" si="0"/>
        <v>8.8568627420331882</v>
      </c>
      <c r="Y14" s="63">
        <f t="shared" si="1"/>
        <v>-2.6563270364916285</v>
      </c>
      <c r="Z14" s="63">
        <f t="shared" si="6"/>
        <v>5.4821184504223588</v>
      </c>
      <c r="AA14" s="63">
        <f t="shared" si="2"/>
        <v>6.7862819499679832</v>
      </c>
      <c r="AB14" s="63">
        <f t="shared" si="3"/>
        <v>-4.5245727186764588</v>
      </c>
      <c r="AC14" s="50"/>
      <c r="AD14" s="50"/>
      <c r="AE14" s="50"/>
      <c r="AF14" s="50"/>
      <c r="AG14" s="50"/>
      <c r="AH14" s="50"/>
      <c r="AI14" s="50"/>
      <c r="AJ14" s="51"/>
    </row>
    <row r="15" spans="2:36" x14ac:dyDescent="0.35">
      <c r="B15">
        <v>0.29359000000000002</v>
      </c>
      <c r="C15">
        <v>0.46529999999999999</v>
      </c>
      <c r="D15" s="68">
        <v>8.2180000000000003E-2</v>
      </c>
      <c r="E15" s="68">
        <v>5.185E-2</v>
      </c>
      <c r="F15" s="49"/>
      <c r="G15" s="49"/>
      <c r="H15" s="50"/>
      <c r="I15" s="50"/>
      <c r="J15" s="49"/>
      <c r="K15" s="50"/>
      <c r="L15" s="50"/>
      <c r="M15" s="50"/>
      <c r="N15" s="51"/>
      <c r="T15">
        <v>343</v>
      </c>
      <c r="U15" s="48">
        <v>5</v>
      </c>
      <c r="V15" s="62">
        <f t="shared" si="4"/>
        <v>35.918876006043305</v>
      </c>
      <c r="W15" s="63">
        <f t="shared" si="5"/>
        <v>7.9021527213295268</v>
      </c>
      <c r="X15" s="63">
        <f t="shared" si="0"/>
        <v>9.3511506046697619</v>
      </c>
      <c r="Y15" s="63">
        <f t="shared" si="1"/>
        <v>-2.3829299079510657</v>
      </c>
      <c r="Z15" s="63">
        <f t="shared" si="6"/>
        <v>5.4821184504223588</v>
      </c>
      <c r="AA15" s="63">
        <f t="shared" si="2"/>
        <v>7.4198128483447103</v>
      </c>
      <c r="AB15" s="63">
        <f t="shared" si="3"/>
        <v>-3.7849092330110863</v>
      </c>
      <c r="AC15" s="50"/>
      <c r="AD15" s="50"/>
      <c r="AE15" s="50"/>
      <c r="AF15" s="64"/>
      <c r="AG15" s="64"/>
      <c r="AH15" s="50"/>
      <c r="AI15" s="50"/>
      <c r="AJ15" s="51"/>
    </row>
    <row r="16" spans="2:36" x14ac:dyDescent="0.35">
      <c r="B16">
        <v>0.33552999999999999</v>
      </c>
      <c r="C16">
        <v>0.52949999999999997</v>
      </c>
      <c r="D16" s="68">
        <v>8.6879999999999999E-2</v>
      </c>
      <c r="E16" s="68">
        <v>5.5050000000000002E-2</v>
      </c>
      <c r="F16" s="49"/>
      <c r="G16" s="49"/>
      <c r="H16" s="50"/>
      <c r="I16" s="50"/>
      <c r="J16" s="49"/>
      <c r="K16" s="50"/>
      <c r="L16" s="50"/>
      <c r="M16" s="50"/>
      <c r="N16" s="51"/>
      <c r="T16">
        <v>343</v>
      </c>
      <c r="U16" s="48">
        <v>6</v>
      </c>
      <c r="V16" s="62">
        <f t="shared" si="4"/>
        <v>35.918876006043305</v>
      </c>
      <c r="W16" s="63">
        <f t="shared" si="5"/>
        <v>7.9021527213295268</v>
      </c>
      <c r="X16" s="63">
        <f t="shared" si="0"/>
        <v>9.9218958687952199</v>
      </c>
      <c r="Y16" s="63">
        <f t="shared" si="1"/>
        <v>-2.1166645764643297</v>
      </c>
      <c r="Z16" s="63">
        <f t="shared" si="6"/>
        <v>5.4821184504223588</v>
      </c>
      <c r="AA16" s="63">
        <f t="shared" si="2"/>
        <v>8.1273379838949271</v>
      </c>
      <c r="AB16" s="63">
        <f t="shared" si="3"/>
        <v>-3.1546031292958983</v>
      </c>
      <c r="AC16" s="50"/>
      <c r="AD16" s="50"/>
      <c r="AE16" s="50"/>
      <c r="AF16" s="64"/>
      <c r="AG16" s="64"/>
      <c r="AH16" s="50"/>
      <c r="AI16" s="50"/>
      <c r="AJ16" s="51"/>
    </row>
    <row r="17" spans="2:36" x14ac:dyDescent="0.35">
      <c r="B17">
        <v>0.37747999999999998</v>
      </c>
      <c r="C17">
        <v>0.5857</v>
      </c>
      <c r="D17" s="68">
        <v>9.1579999999999995E-2</v>
      </c>
      <c r="E17" s="68">
        <v>5.9020000000000003E-2</v>
      </c>
      <c r="F17" s="49"/>
      <c r="G17" s="49"/>
      <c r="H17" s="50"/>
      <c r="I17" s="50"/>
      <c r="J17" s="49"/>
      <c r="K17" s="50"/>
      <c r="L17" s="50"/>
      <c r="M17" s="50"/>
      <c r="N17" s="51"/>
      <c r="U17" s="48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1"/>
    </row>
    <row r="18" spans="2:36" x14ac:dyDescent="0.35">
      <c r="B18">
        <v>0.41942000000000002</v>
      </c>
      <c r="C18">
        <v>0.63260000000000005</v>
      </c>
      <c r="D18" s="68">
        <v>9.6180000000000002E-2</v>
      </c>
      <c r="E18" s="68">
        <v>6.3759999999999997E-2</v>
      </c>
      <c r="F18" s="49"/>
      <c r="G18" s="49"/>
      <c r="H18" s="50"/>
      <c r="I18" s="50"/>
      <c r="J18" s="49"/>
      <c r="K18" s="50"/>
      <c r="L18" s="50"/>
      <c r="M18" s="50"/>
      <c r="N18" s="51"/>
      <c r="U18" s="48"/>
      <c r="V18" s="50"/>
      <c r="W18" s="50"/>
      <c r="X18" s="50"/>
      <c r="Y18" s="50"/>
      <c r="Z18" s="50"/>
      <c r="AA18" s="50"/>
      <c r="AB18" s="50">
        <f>0.7*Z9</f>
        <v>0.154</v>
      </c>
      <c r="AC18" s="50"/>
      <c r="AD18" s="50"/>
      <c r="AE18" s="50"/>
      <c r="AF18" s="50"/>
      <c r="AI18" s="50"/>
      <c r="AJ18" s="51"/>
    </row>
    <row r="19" spans="2:36" x14ac:dyDescent="0.35">
      <c r="B19">
        <v>0.46135999999999999</v>
      </c>
      <c r="C19">
        <v>0.67030000000000001</v>
      </c>
      <c r="D19" s="68">
        <v>0.10059999999999999</v>
      </c>
      <c r="E19" s="68">
        <v>6.9239999999999996E-2</v>
      </c>
      <c r="F19" s="49"/>
      <c r="G19" s="49"/>
      <c r="H19" s="50"/>
      <c r="I19" s="50"/>
      <c r="J19" s="49"/>
      <c r="K19" s="50"/>
      <c r="L19" s="50"/>
      <c r="M19" s="50"/>
      <c r="N19" s="51"/>
      <c r="U19" s="48" t="s">
        <v>81</v>
      </c>
      <c r="V19" s="50" t="s">
        <v>63</v>
      </c>
      <c r="W19" s="50"/>
      <c r="X19" s="50"/>
      <c r="Y19" s="50"/>
      <c r="Z19" s="50"/>
      <c r="AA19" s="50"/>
      <c r="AB19" s="50" t="s">
        <v>88</v>
      </c>
      <c r="AC19" s="50"/>
      <c r="AD19" s="50"/>
      <c r="AE19" s="50"/>
      <c r="AF19" s="50"/>
      <c r="AG19" s="50"/>
      <c r="AH19" s="50"/>
      <c r="AI19" s="50"/>
      <c r="AJ19" s="51"/>
    </row>
    <row r="20" spans="2:36" x14ac:dyDescent="0.35">
      <c r="B20">
        <v>0.50329999999999997</v>
      </c>
      <c r="C20">
        <v>0.72350000000000003</v>
      </c>
      <c r="D20" s="68">
        <v>0.10539999999999999</v>
      </c>
      <c r="E20" s="68">
        <v>7.3330000000000006E-2</v>
      </c>
      <c r="F20" s="49"/>
      <c r="G20" s="49"/>
      <c r="H20" s="50"/>
      <c r="I20" s="50"/>
      <c r="J20" s="49"/>
      <c r="K20" s="50"/>
      <c r="L20" s="50"/>
      <c r="M20" s="50"/>
      <c r="N20" s="51"/>
      <c r="U20" s="48" t="s">
        <v>77</v>
      </c>
      <c r="V20" s="50" t="s">
        <v>64</v>
      </c>
      <c r="W20" s="50" t="s">
        <v>95</v>
      </c>
      <c r="X20" s="50"/>
      <c r="Y20" s="50" t="s">
        <v>75</v>
      </c>
      <c r="Z20" s="50" t="s">
        <v>100</v>
      </c>
      <c r="AA20" s="50"/>
      <c r="AB20" s="50" t="s">
        <v>64</v>
      </c>
      <c r="AC20" s="50" t="s">
        <v>95</v>
      </c>
      <c r="AD20" s="50"/>
      <c r="AE20" s="50" t="s">
        <v>75</v>
      </c>
      <c r="AF20" s="50" t="s">
        <v>100</v>
      </c>
      <c r="AG20" s="50"/>
      <c r="AH20" s="50"/>
      <c r="AI20" s="50"/>
      <c r="AJ20" s="51"/>
    </row>
    <row r="21" spans="2:36" x14ac:dyDescent="0.35">
      <c r="B21">
        <v>0.54523999999999995</v>
      </c>
      <c r="C21">
        <v>0.75460000000000005</v>
      </c>
      <c r="D21" s="68">
        <v>9.8250000000000004E-2</v>
      </c>
      <c r="E21" s="68">
        <v>7.0989999999999998E-2</v>
      </c>
      <c r="F21" s="49"/>
      <c r="G21" s="49"/>
      <c r="H21" s="50"/>
      <c r="I21" s="50"/>
      <c r="J21" s="49"/>
      <c r="K21" s="50"/>
      <c r="L21" s="50"/>
      <c r="M21" s="50"/>
      <c r="N21" s="51"/>
      <c r="U21" s="48">
        <v>1</v>
      </c>
      <c r="V21" s="50"/>
      <c r="W21" s="50"/>
      <c r="X21" s="50"/>
      <c r="Y21" s="66"/>
      <c r="Z21" s="50" t="e">
        <f t="shared" ref="Z21:Z25" si="7">Y11/Y21</f>
        <v>#DIV/0!</v>
      </c>
      <c r="AA21" s="50"/>
      <c r="AB21" s="50"/>
      <c r="AC21" s="50"/>
      <c r="AD21" s="50"/>
      <c r="AE21" s="50"/>
      <c r="AF21" s="50" t="e">
        <f t="shared" ref="AF21:AF25" si="8">AB11/AE21</f>
        <v>#DIV/0!</v>
      </c>
      <c r="AG21" s="50"/>
      <c r="AH21" s="50"/>
      <c r="AI21" s="50"/>
      <c r="AJ21" s="51"/>
    </row>
    <row r="22" spans="2:36" x14ac:dyDescent="0.35">
      <c r="B22">
        <v>0.58718000000000004</v>
      </c>
      <c r="C22">
        <v>0.78100000000000003</v>
      </c>
      <c r="D22" s="68">
        <v>9.0590000000000004E-2</v>
      </c>
      <c r="E22" s="68">
        <v>6.8110000000000004E-2</v>
      </c>
      <c r="F22" s="49"/>
      <c r="G22" s="49"/>
      <c r="H22" s="50"/>
      <c r="I22" s="50"/>
      <c r="J22" s="49"/>
      <c r="K22" s="50"/>
      <c r="L22" s="50"/>
      <c r="M22" s="50"/>
      <c r="N22" s="51"/>
      <c r="U22" s="48">
        <v>2</v>
      </c>
      <c r="V22" s="50"/>
      <c r="W22" s="50"/>
      <c r="X22" s="50"/>
      <c r="Y22" s="66"/>
      <c r="Z22" s="50" t="e">
        <f t="shared" si="7"/>
        <v>#DIV/0!</v>
      </c>
      <c r="AA22" s="50"/>
      <c r="AB22" s="50"/>
      <c r="AC22" s="50"/>
      <c r="AD22" s="50"/>
      <c r="AE22" s="50"/>
      <c r="AF22" s="50" t="e">
        <f t="shared" si="8"/>
        <v>#DIV/0!</v>
      </c>
      <c r="AG22" s="50"/>
      <c r="AH22" s="50"/>
      <c r="AI22" s="50"/>
      <c r="AJ22" s="51"/>
    </row>
    <row r="23" spans="2:36" x14ac:dyDescent="0.35">
      <c r="B23">
        <v>0.62912999999999997</v>
      </c>
      <c r="C23">
        <v>0.80489999999999995</v>
      </c>
      <c r="D23" s="68">
        <v>8.2610000000000003E-2</v>
      </c>
      <c r="E23" s="68">
        <v>6.4570000000000002E-2</v>
      </c>
      <c r="F23" s="49"/>
      <c r="G23" s="49"/>
      <c r="H23" s="50"/>
      <c r="I23" s="50"/>
      <c r="J23" s="49"/>
      <c r="K23" s="50"/>
      <c r="L23" s="50"/>
      <c r="M23" s="50"/>
      <c r="N23" s="51"/>
      <c r="U23" s="48">
        <v>3</v>
      </c>
      <c r="V23" s="50">
        <v>61028</v>
      </c>
      <c r="W23" s="50">
        <v>1.1371</v>
      </c>
      <c r="X23" s="50"/>
      <c r="Y23" s="66">
        <v>-2.5</v>
      </c>
      <c r="Z23" s="50">
        <f t="shared" si="7"/>
        <v>1.1666363219404439</v>
      </c>
      <c r="AA23" s="50"/>
      <c r="AB23" s="50"/>
      <c r="AC23" s="50"/>
      <c r="AD23" s="50"/>
      <c r="AE23" s="66"/>
      <c r="AF23" s="50" t="e">
        <f t="shared" si="8"/>
        <v>#DIV/0!</v>
      </c>
      <c r="AG23" s="50"/>
      <c r="AH23" s="50"/>
      <c r="AI23" s="50"/>
      <c r="AJ23" s="51"/>
    </row>
    <row r="24" spans="2:36" x14ac:dyDescent="0.35">
      <c r="B24">
        <v>0.67107000000000006</v>
      </c>
      <c r="C24">
        <v>0.82630000000000003</v>
      </c>
      <c r="D24" s="68">
        <v>7.4310000000000001E-2</v>
      </c>
      <c r="E24" s="68">
        <v>6.0350000000000001E-2</v>
      </c>
      <c r="F24" s="49"/>
      <c r="G24" s="49"/>
      <c r="H24" s="50"/>
      <c r="I24" s="50"/>
      <c r="J24" s="49"/>
      <c r="K24" s="50"/>
      <c r="L24" s="50"/>
      <c r="M24" s="50"/>
      <c r="N24" s="51"/>
      <c r="U24" s="48">
        <v>4</v>
      </c>
      <c r="V24" s="50"/>
      <c r="W24" s="50"/>
      <c r="X24" s="50"/>
      <c r="Y24" s="66"/>
      <c r="Z24" s="50" t="e">
        <f t="shared" si="7"/>
        <v>#DIV/0!</v>
      </c>
      <c r="AA24" s="50"/>
      <c r="AB24" s="50"/>
      <c r="AC24" s="50"/>
      <c r="AD24" s="50"/>
      <c r="AE24" s="66"/>
      <c r="AF24" s="50" t="e">
        <f t="shared" si="8"/>
        <v>#DIV/0!</v>
      </c>
      <c r="AG24" s="50"/>
      <c r="AH24" s="50"/>
      <c r="AI24" s="50"/>
      <c r="AJ24" s="51"/>
    </row>
    <row r="25" spans="2:36" x14ac:dyDescent="0.35">
      <c r="B25">
        <v>0.71301000000000003</v>
      </c>
      <c r="C25">
        <v>0.8448</v>
      </c>
      <c r="D25" s="68">
        <v>6.5680000000000002E-2</v>
      </c>
      <c r="E25" s="68">
        <v>5.543E-2</v>
      </c>
      <c r="F25" s="49"/>
      <c r="G25" s="49"/>
      <c r="H25" s="50"/>
      <c r="I25" s="50"/>
      <c r="J25" s="49"/>
      <c r="K25" s="50"/>
      <c r="L25" s="50"/>
      <c r="M25" s="50"/>
      <c r="N25" s="51"/>
      <c r="U25" s="48">
        <v>5</v>
      </c>
      <c r="V25" s="50"/>
      <c r="W25" s="50"/>
      <c r="X25" s="50"/>
      <c r="Y25" s="50"/>
      <c r="Z25" s="50" t="e">
        <f t="shared" si="7"/>
        <v>#DIV/0!</v>
      </c>
      <c r="AA25" s="50"/>
      <c r="AB25" s="50"/>
      <c r="AC25" s="50"/>
      <c r="AD25" s="50"/>
      <c r="AE25" s="50"/>
      <c r="AF25" s="50" t="e">
        <f t="shared" si="8"/>
        <v>#DIV/0!</v>
      </c>
      <c r="AG25" s="50"/>
      <c r="AH25" s="50"/>
      <c r="AI25" s="50"/>
      <c r="AJ25" s="51"/>
    </row>
    <row r="26" spans="2:36" ht="15" thickBot="1" x14ac:dyDescent="0.4">
      <c r="B26">
        <v>0.75495000000000001</v>
      </c>
      <c r="C26">
        <v>0.8599</v>
      </c>
      <c r="D26" s="68">
        <v>5.6689999999999997E-2</v>
      </c>
      <c r="E26" s="68">
        <v>4.9770000000000002E-2</v>
      </c>
      <c r="F26" s="49"/>
      <c r="G26" s="49"/>
      <c r="H26" s="50"/>
      <c r="I26" s="50"/>
      <c r="J26" s="50"/>
      <c r="K26" s="50"/>
      <c r="L26" s="50"/>
      <c r="M26" s="50"/>
      <c r="N26" s="51"/>
      <c r="U26" s="60">
        <v>6</v>
      </c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6"/>
    </row>
    <row r="27" spans="2:36" x14ac:dyDescent="0.35">
      <c r="B27">
        <v>0.79688999999999999</v>
      </c>
      <c r="C27">
        <v>0.86950000000000005</v>
      </c>
      <c r="D27" s="68">
        <v>4.7320000000000001E-2</v>
      </c>
      <c r="E27" s="68">
        <v>4.3369999999999999E-2</v>
      </c>
      <c r="F27" s="49"/>
      <c r="G27" s="49"/>
      <c r="H27" s="50"/>
      <c r="I27" s="50"/>
      <c r="J27" s="50"/>
      <c r="K27" s="50"/>
      <c r="L27" s="50"/>
      <c r="M27" s="50"/>
      <c r="N27" s="51"/>
    </row>
    <row r="28" spans="2:36" x14ac:dyDescent="0.35">
      <c r="B28">
        <v>0.83882999999999996</v>
      </c>
      <c r="C28">
        <v>0.87009999999999998</v>
      </c>
      <c r="D28" s="68">
        <v>3.7569999999999999E-2</v>
      </c>
      <c r="E28" s="68">
        <v>3.6220000000000002E-2</v>
      </c>
      <c r="F28" s="49"/>
      <c r="G28" s="49"/>
      <c r="H28" s="50"/>
      <c r="I28" s="50"/>
      <c r="J28" s="50"/>
      <c r="K28" s="50"/>
      <c r="L28" s="50"/>
      <c r="M28" s="50"/>
      <c r="N28" s="51"/>
    </row>
    <row r="29" spans="2:36" ht="15" thickBot="1" x14ac:dyDescent="0.4">
      <c r="B29">
        <v>0.88078000000000001</v>
      </c>
      <c r="C29">
        <v>0.85389999999999999</v>
      </c>
      <c r="D29" s="68">
        <v>2.741E-2</v>
      </c>
      <c r="E29" s="68">
        <v>2.827E-2</v>
      </c>
      <c r="F29" s="54"/>
      <c r="G29" s="54"/>
      <c r="H29" s="55"/>
      <c r="I29" s="55"/>
      <c r="J29" s="55"/>
      <c r="K29" s="55"/>
      <c r="L29" s="55"/>
      <c r="M29" s="55"/>
      <c r="N29" s="56"/>
    </row>
    <row r="30" spans="2:36" x14ac:dyDescent="0.35">
      <c r="B30">
        <v>0.92271999999999998</v>
      </c>
      <c r="C30">
        <v>0.7964</v>
      </c>
      <c r="D30" s="68">
        <v>1.686E-2</v>
      </c>
      <c r="E30" s="68">
        <v>1.9529999999999999E-2</v>
      </c>
      <c r="F30" s="49"/>
      <c r="G30" s="49"/>
      <c r="H30" s="50"/>
      <c r="I30" s="50"/>
      <c r="J30" s="50"/>
      <c r="K30" s="50"/>
      <c r="L30" s="50"/>
      <c r="M30" s="50"/>
      <c r="N30" s="50"/>
    </row>
    <row r="31" spans="2:36" x14ac:dyDescent="0.35">
      <c r="B31">
        <v>0.96465999999999996</v>
      </c>
      <c r="C31">
        <v>0.57069999999999999</v>
      </c>
      <c r="D31" s="68">
        <v>5.8979999999999996E-3</v>
      </c>
      <c r="E31" s="68">
        <v>9.9690000000000004E-3</v>
      </c>
      <c r="F31" s="49"/>
      <c r="G31" s="49"/>
      <c r="H31" s="50"/>
      <c r="I31" s="50"/>
      <c r="J31" s="50"/>
      <c r="K31" s="50"/>
      <c r="L31" s="50"/>
      <c r="M31" s="50"/>
      <c r="N31" s="50"/>
    </row>
    <row r="32" spans="2:36" x14ac:dyDescent="0.35">
      <c r="D32" s="68"/>
      <c r="E32" s="68"/>
      <c r="F32" s="49"/>
      <c r="G32" s="49"/>
      <c r="H32" s="50"/>
      <c r="I32" s="50"/>
      <c r="J32" s="50"/>
      <c r="K32" s="50"/>
      <c r="L32" s="50"/>
      <c r="M32" s="50"/>
      <c r="N32" s="50"/>
    </row>
    <row r="33" spans="2:17" x14ac:dyDescent="0.35">
      <c r="D33" s="68"/>
      <c r="E33" s="68"/>
      <c r="F33" s="49"/>
      <c r="G33" s="49"/>
      <c r="H33" s="50"/>
      <c r="I33" s="50"/>
      <c r="J33" s="50"/>
      <c r="K33" s="50"/>
      <c r="L33" s="50"/>
      <c r="M33" s="50"/>
      <c r="N33" s="50"/>
    </row>
    <row r="34" spans="2:17" x14ac:dyDescent="0.35">
      <c r="D34" s="68"/>
      <c r="E34" s="68"/>
      <c r="F34" s="49"/>
      <c r="G34" s="49"/>
      <c r="H34" s="50"/>
      <c r="I34" s="50"/>
      <c r="J34" s="50"/>
      <c r="K34" s="50"/>
      <c r="L34" s="50"/>
      <c r="M34" s="50"/>
      <c r="N34" s="50"/>
    </row>
    <row r="35" spans="2:17" x14ac:dyDescent="0.35">
      <c r="B35" s="49"/>
      <c r="C35" s="49"/>
      <c r="D35" s="49"/>
      <c r="E35" s="49"/>
      <c r="F35" s="49"/>
      <c r="G35" s="49"/>
      <c r="H35" s="50"/>
      <c r="I35" s="50"/>
      <c r="J35" s="50"/>
      <c r="K35" s="50"/>
      <c r="L35" s="50"/>
      <c r="M35" s="50"/>
      <c r="N35" s="50"/>
    </row>
    <row r="36" spans="2:17" x14ac:dyDescent="0.35">
      <c r="B36" s="49"/>
      <c r="C36" s="49"/>
      <c r="D36" s="49"/>
      <c r="E36" s="49"/>
      <c r="F36" s="49"/>
      <c r="G36" s="49"/>
      <c r="H36" s="50"/>
      <c r="I36" s="50"/>
      <c r="J36" s="50"/>
      <c r="K36" s="50"/>
      <c r="L36" s="50"/>
      <c r="M36" s="50"/>
      <c r="N36" s="50"/>
    </row>
    <row r="37" spans="2:17" x14ac:dyDescent="0.35">
      <c r="B37" s="49"/>
      <c r="C37" s="49"/>
      <c r="D37" s="49"/>
      <c r="E37" s="49"/>
      <c r="F37" s="49"/>
      <c r="G37" s="49"/>
      <c r="H37" s="50"/>
      <c r="I37" s="50"/>
      <c r="J37" s="50"/>
      <c r="K37" s="50"/>
      <c r="L37" s="50"/>
      <c r="M37" s="50"/>
      <c r="N37" s="50"/>
    </row>
    <row r="38" spans="2:17" x14ac:dyDescent="0.35">
      <c r="B38" s="49"/>
      <c r="C38" s="49"/>
      <c r="D38" s="49"/>
      <c r="E38" s="49"/>
      <c r="F38" s="49"/>
      <c r="G38" s="49"/>
      <c r="H38" s="50"/>
      <c r="I38" s="50"/>
      <c r="J38" s="50"/>
      <c r="K38" s="50"/>
      <c r="L38" s="50"/>
      <c r="M38" s="50"/>
      <c r="N38" s="50"/>
    </row>
    <row r="39" spans="2:17" ht="15" thickBot="1" x14ac:dyDescent="0.4">
      <c r="F39" s="1"/>
      <c r="G39" s="1"/>
    </row>
    <row r="40" spans="2:17" x14ac:dyDescent="0.35">
      <c r="B40" s="45"/>
      <c r="C40" s="46">
        <v>1</v>
      </c>
      <c r="D40" s="46">
        <v>2</v>
      </c>
      <c r="E40" s="46">
        <v>3</v>
      </c>
      <c r="F40" s="46">
        <v>4</v>
      </c>
      <c r="G40" s="46">
        <v>5</v>
      </c>
      <c r="H40" s="46">
        <v>6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8" t="s">
        <v>62</v>
      </c>
      <c r="C41" s="50" t="s">
        <v>64</v>
      </c>
      <c r="D41" s="50" t="s">
        <v>65</v>
      </c>
      <c r="E41" s="50" t="s">
        <v>64</v>
      </c>
      <c r="F41" s="50" t="s">
        <v>66</v>
      </c>
      <c r="G41" s="50" t="s">
        <v>64</v>
      </c>
      <c r="H41" s="50" t="s">
        <v>64</v>
      </c>
      <c r="I41" s="50"/>
      <c r="J41" s="50"/>
      <c r="K41" s="50"/>
      <c r="L41" s="50"/>
      <c r="M41" s="50"/>
      <c r="N41" s="50"/>
      <c r="O41" s="50"/>
      <c r="P41" s="50"/>
      <c r="Q41" s="51"/>
    </row>
    <row r="42" spans="2:17" x14ac:dyDescent="0.35">
      <c r="B42" s="48">
        <v>3.7100000000000001E-2</v>
      </c>
      <c r="C42" s="50">
        <v>19940</v>
      </c>
      <c r="D42" s="50">
        <v>27915</v>
      </c>
      <c r="E42" s="50">
        <v>37619</v>
      </c>
      <c r="F42" s="50">
        <v>48020</v>
      </c>
      <c r="G42" s="50">
        <v>59317</v>
      </c>
      <c r="H42" s="50">
        <v>70660</v>
      </c>
      <c r="I42" s="50"/>
      <c r="J42" s="50"/>
      <c r="K42" s="50"/>
      <c r="L42" s="50"/>
      <c r="M42" s="50"/>
      <c r="N42" s="50"/>
      <c r="O42" s="50"/>
      <c r="P42" s="50"/>
      <c r="Q42" s="51"/>
    </row>
    <row r="43" spans="2:17" x14ac:dyDescent="0.35">
      <c r="B43" s="48">
        <v>4.3799999999999999E-2</v>
      </c>
      <c r="C43" s="50">
        <v>25545</v>
      </c>
      <c r="D43" s="50">
        <v>33878</v>
      </c>
      <c r="E43" s="50">
        <v>44415</v>
      </c>
      <c r="F43" s="50">
        <v>55931</v>
      </c>
      <c r="G43" s="50">
        <v>68814</v>
      </c>
      <c r="H43" s="50">
        <v>81767</v>
      </c>
      <c r="I43" s="50"/>
      <c r="J43" s="50"/>
      <c r="K43" s="50"/>
      <c r="L43" s="50"/>
      <c r="M43" s="50"/>
      <c r="N43" s="50"/>
      <c r="O43" s="50"/>
      <c r="P43" s="50"/>
      <c r="Q43" s="51"/>
    </row>
    <row r="44" spans="2:17" x14ac:dyDescent="0.35">
      <c r="B44" s="48">
        <v>5.04E-2</v>
      </c>
      <c r="C44" s="50">
        <v>31606</v>
      </c>
      <c r="D44" s="50">
        <v>40106</v>
      </c>
      <c r="E44" s="50">
        <v>51222</v>
      </c>
      <c r="F44" s="50">
        <v>63607</v>
      </c>
      <c r="G44" s="50">
        <v>77927</v>
      </c>
      <c r="H44" s="50">
        <v>92344</v>
      </c>
      <c r="I44" s="50"/>
      <c r="J44" s="50"/>
      <c r="K44" s="50"/>
      <c r="L44" s="50"/>
      <c r="M44" s="50"/>
      <c r="N44" s="50"/>
      <c r="O44" s="50"/>
      <c r="P44" s="50"/>
      <c r="Q44" s="51"/>
    </row>
    <row r="45" spans="2:17" x14ac:dyDescent="0.35">
      <c r="B45" s="48">
        <v>5.7099999999999998E-2</v>
      </c>
      <c r="C45" s="50">
        <v>38001</v>
      </c>
      <c r="D45" s="50">
        <v>46524</v>
      </c>
      <c r="E45" s="50">
        <v>57997</v>
      </c>
      <c r="F45" s="50">
        <v>71021</v>
      </c>
      <c r="G45" s="50">
        <v>86627</v>
      </c>
      <c r="H45" s="50">
        <v>102359</v>
      </c>
      <c r="I45" s="50"/>
      <c r="J45" s="50"/>
      <c r="K45" s="50"/>
      <c r="L45" s="50"/>
      <c r="M45" s="50"/>
      <c r="N45" s="50"/>
      <c r="O45" s="50"/>
      <c r="P45" s="50"/>
      <c r="Q45" s="51"/>
    </row>
    <row r="46" spans="2:17" x14ac:dyDescent="0.35">
      <c r="B46" s="48">
        <v>6.3700000000000007E-2</v>
      </c>
      <c r="C46" s="50">
        <v>44541</v>
      </c>
      <c r="D46" s="50">
        <v>52967</v>
      </c>
      <c r="E46" s="50">
        <v>64594</v>
      </c>
      <c r="F46" s="50">
        <v>78023</v>
      </c>
      <c r="G46" s="50">
        <v>94743</v>
      </c>
      <c r="H46" s="50">
        <v>111620</v>
      </c>
      <c r="I46" s="50"/>
      <c r="J46" s="50"/>
      <c r="K46" s="50"/>
      <c r="L46" s="50"/>
      <c r="M46" s="50"/>
      <c r="N46" s="50"/>
      <c r="O46" s="50"/>
      <c r="P46" s="50"/>
      <c r="Q46" s="51"/>
    </row>
    <row r="47" spans="2:17" x14ac:dyDescent="0.35">
      <c r="B47" s="48">
        <v>7.0400000000000004E-2</v>
      </c>
      <c r="C47" s="50">
        <v>50989</v>
      </c>
      <c r="D47" s="50">
        <v>59211</v>
      </c>
      <c r="E47" s="50">
        <v>70798</v>
      </c>
      <c r="F47" s="50">
        <v>84400</v>
      </c>
      <c r="G47" s="50">
        <v>102031</v>
      </c>
      <c r="H47" s="50">
        <v>119847</v>
      </c>
      <c r="I47" s="50"/>
      <c r="J47" s="50"/>
      <c r="K47" s="50"/>
      <c r="L47" s="50"/>
      <c r="M47" s="50"/>
      <c r="N47" s="50"/>
      <c r="O47" s="50"/>
      <c r="P47" s="50"/>
      <c r="Q47" s="51"/>
    </row>
    <row r="48" spans="2:17" x14ac:dyDescent="0.35">
      <c r="B48" s="48">
        <v>7.6999999999999999E-2</v>
      </c>
      <c r="C48" s="50">
        <v>57132</v>
      </c>
      <c r="D48" s="50">
        <v>65063</v>
      </c>
      <c r="E48" s="50">
        <v>76441</v>
      </c>
      <c r="F48" s="50">
        <v>89997</v>
      </c>
      <c r="G48" s="50">
        <v>108322</v>
      </c>
      <c r="H48" s="50">
        <v>126858</v>
      </c>
      <c r="I48" s="50"/>
      <c r="J48" s="50"/>
      <c r="K48" s="50"/>
      <c r="L48" s="50"/>
      <c r="M48" s="50"/>
      <c r="N48" s="50"/>
      <c r="O48" s="50"/>
      <c r="P48" s="50"/>
      <c r="Q48" s="51"/>
    </row>
    <row r="49" spans="2:17" x14ac:dyDescent="0.35">
      <c r="B49" s="48">
        <v>8.3699999999999997E-2</v>
      </c>
      <c r="C49" s="50">
        <v>62876</v>
      </c>
      <c r="D49" s="50">
        <v>70457</v>
      </c>
      <c r="E49" s="50">
        <v>81500</v>
      </c>
      <c r="F49" s="50">
        <v>94836</v>
      </c>
      <c r="G49" s="50">
        <v>113663</v>
      </c>
      <c r="H49" s="50">
        <v>132724</v>
      </c>
      <c r="I49" s="50"/>
      <c r="J49" s="50"/>
      <c r="K49" s="50"/>
      <c r="L49" s="50"/>
      <c r="M49" s="50"/>
      <c r="N49" s="50"/>
      <c r="O49" s="50"/>
      <c r="P49" s="50"/>
      <c r="Q49" s="51"/>
    </row>
    <row r="50" spans="2:17" x14ac:dyDescent="0.35">
      <c r="B50" s="48">
        <v>9.0300000000000005E-2</v>
      </c>
      <c r="C50" s="50">
        <v>68166</v>
      </c>
      <c r="D50" s="50">
        <v>75362</v>
      </c>
      <c r="E50" s="50">
        <v>85983</v>
      </c>
      <c r="F50" s="50">
        <v>98966</v>
      </c>
      <c r="G50" s="50">
        <v>118130</v>
      </c>
      <c r="H50" s="50">
        <v>137547</v>
      </c>
      <c r="I50" s="50"/>
      <c r="J50" s="50"/>
      <c r="K50" s="50"/>
      <c r="L50" s="50"/>
      <c r="M50" s="50"/>
      <c r="N50" s="50"/>
      <c r="O50" s="50"/>
      <c r="P50" s="50"/>
      <c r="Q50" s="51"/>
    </row>
    <row r="51" spans="2:17" x14ac:dyDescent="0.35">
      <c r="B51" s="48">
        <v>9.7000000000000003E-2</v>
      </c>
      <c r="C51" s="50">
        <v>72939</v>
      </c>
      <c r="D51" s="50">
        <v>79732</v>
      </c>
      <c r="E51" s="50">
        <v>89869</v>
      </c>
      <c r="F51" s="50">
        <v>102399</v>
      </c>
      <c r="G51" s="50">
        <v>121753</v>
      </c>
      <c r="H51" s="50">
        <v>141374</v>
      </c>
      <c r="I51" s="50"/>
      <c r="J51" s="50"/>
      <c r="K51" s="50"/>
      <c r="L51" s="50"/>
      <c r="M51" s="50"/>
      <c r="N51" s="50"/>
      <c r="O51" s="50"/>
      <c r="P51" s="50"/>
      <c r="Q51" s="51"/>
    </row>
    <row r="52" spans="2:17" x14ac:dyDescent="0.35">
      <c r="B52" s="48">
        <v>0.1036</v>
      </c>
      <c r="C52" s="50">
        <v>77129</v>
      </c>
      <c r="D52" s="50">
        <v>83508</v>
      </c>
      <c r="E52" s="50">
        <v>93118</v>
      </c>
      <c r="F52" s="50">
        <v>105117</v>
      </c>
      <c r="G52" s="50">
        <v>124526</v>
      </c>
      <c r="H52" s="50">
        <v>144211</v>
      </c>
      <c r="I52" s="50"/>
      <c r="J52" s="50"/>
      <c r="K52" s="50"/>
      <c r="L52" s="50"/>
      <c r="M52" s="50"/>
      <c r="N52" s="50"/>
      <c r="O52" s="50"/>
      <c r="P52" s="50"/>
      <c r="Q52" s="51"/>
    </row>
    <row r="53" spans="2:17" x14ac:dyDescent="0.35">
      <c r="B53" s="48">
        <v>0.1103</v>
      </c>
      <c r="C53" s="50">
        <v>80682</v>
      </c>
      <c r="D53" s="50">
        <v>86644</v>
      </c>
      <c r="E53" s="50">
        <v>95700</v>
      </c>
      <c r="F53" s="50">
        <v>107110</v>
      </c>
      <c r="G53" s="50">
        <v>126446</v>
      </c>
      <c r="H53" s="50">
        <v>146066</v>
      </c>
      <c r="I53" s="50"/>
      <c r="J53" s="50"/>
      <c r="K53" s="50"/>
      <c r="L53" s="50"/>
      <c r="M53" s="50"/>
      <c r="N53" s="50"/>
      <c r="O53" s="50"/>
      <c r="P53" s="50"/>
      <c r="Q53" s="51"/>
    </row>
    <row r="54" spans="2:17" x14ac:dyDescent="0.35">
      <c r="B54" s="48">
        <v>0.1169</v>
      </c>
      <c r="C54" s="50">
        <v>83565</v>
      </c>
      <c r="D54" s="50">
        <v>89112</v>
      </c>
      <c r="E54" s="50">
        <v>97599</v>
      </c>
      <c r="F54" s="50">
        <v>108381</v>
      </c>
      <c r="G54" s="50">
        <v>127529</v>
      </c>
      <c r="H54" s="50">
        <v>146964</v>
      </c>
      <c r="I54" s="50"/>
      <c r="J54" s="50"/>
      <c r="K54" s="50"/>
      <c r="L54" s="50"/>
      <c r="M54" s="50"/>
      <c r="N54" s="50"/>
      <c r="O54" s="50"/>
      <c r="P54" s="50"/>
      <c r="Q54" s="51"/>
    </row>
    <row r="55" spans="2:17" x14ac:dyDescent="0.35">
      <c r="B55" s="48">
        <v>0.1235</v>
      </c>
      <c r="C55" s="50">
        <v>85760</v>
      </c>
      <c r="D55" s="50">
        <v>90900</v>
      </c>
      <c r="E55" s="50">
        <v>98814</v>
      </c>
      <c r="F55" s="50">
        <v>108942</v>
      </c>
      <c r="G55" s="50">
        <v>127799</v>
      </c>
      <c r="H55" s="50">
        <v>146940</v>
      </c>
      <c r="I55" s="50"/>
      <c r="J55" s="50"/>
      <c r="K55" s="50"/>
      <c r="L55" s="50"/>
      <c r="M55" s="50"/>
      <c r="N55" s="50"/>
      <c r="O55" s="50"/>
      <c r="P55" s="50"/>
      <c r="Q55" s="51"/>
    </row>
    <row r="56" spans="2:17" x14ac:dyDescent="0.35">
      <c r="B56" s="48">
        <v>0.13020000000000001</v>
      </c>
      <c r="C56" s="50">
        <v>87219</v>
      </c>
      <c r="D56" s="50">
        <v>91960</v>
      </c>
      <c r="E56" s="50">
        <v>99302</v>
      </c>
      <c r="F56" s="50">
        <v>108759</v>
      </c>
      <c r="G56" s="50">
        <v>127221</v>
      </c>
      <c r="H56" s="50">
        <v>145963</v>
      </c>
      <c r="I56" s="50"/>
      <c r="J56" s="50"/>
      <c r="K56" s="50"/>
      <c r="L56" s="50"/>
      <c r="M56" s="50"/>
      <c r="N56" s="50"/>
      <c r="O56" s="50"/>
      <c r="P56" s="50"/>
      <c r="Q56" s="51"/>
    </row>
    <row r="57" spans="2:17" x14ac:dyDescent="0.35">
      <c r="B57" s="48">
        <v>0.1368</v>
      </c>
      <c r="C57" s="50">
        <v>87823</v>
      </c>
      <c r="D57" s="50">
        <v>92172</v>
      </c>
      <c r="E57" s="50">
        <v>98939</v>
      </c>
      <c r="F57" s="50">
        <v>107710</v>
      </c>
      <c r="G57" s="50">
        <v>125658</v>
      </c>
      <c r="H57" s="50">
        <v>143879</v>
      </c>
      <c r="I57" s="50"/>
      <c r="J57" s="50"/>
      <c r="K57" s="50"/>
      <c r="L57" s="50"/>
      <c r="M57" s="50"/>
      <c r="N57" s="50"/>
      <c r="O57" s="50"/>
      <c r="P57" s="50"/>
      <c r="Q57" s="51"/>
    </row>
    <row r="58" spans="2:17" x14ac:dyDescent="0.35">
      <c r="B58" s="48">
        <v>0.14349999999999999</v>
      </c>
      <c r="C58" s="50">
        <v>87452</v>
      </c>
      <c r="D58" s="50">
        <v>91411</v>
      </c>
      <c r="E58" s="50">
        <v>97600</v>
      </c>
      <c r="F58" s="50">
        <v>105666</v>
      </c>
      <c r="G58" s="50">
        <v>122969</v>
      </c>
      <c r="H58" s="50">
        <v>140533</v>
      </c>
      <c r="I58" s="50"/>
      <c r="J58" s="50"/>
      <c r="K58" s="50"/>
      <c r="L58" s="50"/>
      <c r="M58" s="50"/>
      <c r="N58" s="50"/>
      <c r="O58" s="50"/>
      <c r="P58" s="50"/>
      <c r="Q58" s="51"/>
    </row>
    <row r="59" spans="2:17" x14ac:dyDescent="0.35">
      <c r="B59" s="48">
        <v>0.15010000000000001</v>
      </c>
      <c r="C59" s="50">
        <v>86073</v>
      </c>
      <c r="D59" s="50">
        <v>89648</v>
      </c>
      <c r="E59" s="50">
        <v>95261</v>
      </c>
      <c r="F59" s="50">
        <v>102611</v>
      </c>
      <c r="G59" s="50">
        <v>119139</v>
      </c>
      <c r="H59" s="50">
        <v>135914</v>
      </c>
      <c r="I59" s="50"/>
      <c r="J59" s="50"/>
      <c r="K59" s="50"/>
      <c r="L59" s="50"/>
      <c r="M59" s="50"/>
      <c r="N59" s="50"/>
      <c r="O59" s="50"/>
      <c r="P59" s="50"/>
      <c r="Q59" s="51"/>
    </row>
    <row r="60" spans="2:17" x14ac:dyDescent="0.35">
      <c r="B60" s="48">
        <v>0.15679999999999999</v>
      </c>
      <c r="C60" s="50">
        <v>83721</v>
      </c>
      <c r="D60" s="50">
        <v>86922</v>
      </c>
      <c r="E60" s="50">
        <v>91967</v>
      </c>
      <c r="F60" s="50">
        <v>98603</v>
      </c>
      <c r="G60" s="50">
        <v>114240</v>
      </c>
      <c r="H60" s="50">
        <v>130108</v>
      </c>
      <c r="I60" s="50"/>
      <c r="J60" s="50"/>
      <c r="K60" s="50"/>
      <c r="L60" s="50"/>
      <c r="M60" s="50"/>
      <c r="N60" s="50"/>
      <c r="O60" s="50"/>
      <c r="P60" s="50"/>
      <c r="Q60" s="51"/>
    </row>
    <row r="61" spans="2:17" x14ac:dyDescent="0.35">
      <c r="B61" s="48">
        <v>0.16339999999999999</v>
      </c>
      <c r="C61" s="50">
        <v>80335</v>
      </c>
      <c r="D61" s="50">
        <v>83172</v>
      </c>
      <c r="E61" s="50">
        <v>87657</v>
      </c>
      <c r="F61" s="50">
        <v>93582</v>
      </c>
      <c r="G61" s="50">
        <v>108207</v>
      </c>
      <c r="H61" s="50">
        <v>123044</v>
      </c>
      <c r="I61" s="50"/>
      <c r="J61" s="50"/>
      <c r="K61" s="50"/>
      <c r="L61" s="50"/>
      <c r="M61" s="50"/>
      <c r="N61" s="50"/>
      <c r="O61" s="50"/>
      <c r="P61" s="50"/>
      <c r="Q61" s="51"/>
    </row>
    <row r="62" spans="2:17" x14ac:dyDescent="0.35">
      <c r="B62" s="48">
        <v>0.1701</v>
      </c>
      <c r="C62" s="50">
        <v>75478</v>
      </c>
      <c r="D62" s="50">
        <v>77946</v>
      </c>
      <c r="E62" s="50">
        <v>81861</v>
      </c>
      <c r="F62" s="50">
        <v>87052</v>
      </c>
      <c r="G62" s="50">
        <v>100470</v>
      </c>
      <c r="H62" s="50">
        <v>114079</v>
      </c>
      <c r="I62" s="50"/>
      <c r="J62" s="50"/>
      <c r="K62" s="50"/>
      <c r="L62" s="50"/>
      <c r="M62" s="50"/>
      <c r="N62" s="50"/>
      <c r="O62" s="50"/>
      <c r="P62" s="50"/>
      <c r="Q62" s="51"/>
    </row>
    <row r="63" spans="2:17" x14ac:dyDescent="0.35">
      <c r="B63" s="48">
        <v>0.1767</v>
      </c>
      <c r="C63" s="50">
        <v>68589</v>
      </c>
      <c r="D63" s="50">
        <v>70671</v>
      </c>
      <c r="E63" s="50">
        <v>73984</v>
      </c>
      <c r="F63" s="50">
        <v>78392</v>
      </c>
      <c r="G63" s="50">
        <v>90319</v>
      </c>
      <c r="H63" s="50">
        <v>102413</v>
      </c>
      <c r="I63" s="50"/>
      <c r="J63" s="50"/>
      <c r="K63" s="50"/>
      <c r="L63" s="50"/>
      <c r="M63" s="50"/>
      <c r="N63" s="50"/>
      <c r="O63" s="50"/>
      <c r="P63" s="50"/>
      <c r="Q63" s="51"/>
    </row>
    <row r="64" spans="2:17" x14ac:dyDescent="0.35">
      <c r="B64" s="48">
        <v>0.18340000000000001</v>
      </c>
      <c r="C64" s="50">
        <v>59318</v>
      </c>
      <c r="D64" s="50">
        <v>60993</v>
      </c>
      <c r="E64" s="50">
        <v>63667</v>
      </c>
      <c r="F64" s="50">
        <v>67236</v>
      </c>
      <c r="G64" s="50">
        <v>77342</v>
      </c>
      <c r="H64" s="50">
        <v>87585</v>
      </c>
      <c r="I64" s="50"/>
      <c r="J64" s="50"/>
      <c r="K64" s="50"/>
      <c r="L64" s="50"/>
      <c r="M64" s="50"/>
      <c r="N64" s="50"/>
      <c r="O64" s="50"/>
      <c r="P64" s="50"/>
      <c r="Q64" s="51"/>
    </row>
    <row r="65" spans="2:17" x14ac:dyDescent="0.35">
      <c r="B65" s="48">
        <v>0.19</v>
      </c>
      <c r="C65" s="50">
        <v>47617</v>
      </c>
      <c r="D65" s="50">
        <v>48872</v>
      </c>
      <c r="E65" s="50">
        <v>50879</v>
      </c>
      <c r="F65" s="50">
        <v>53568</v>
      </c>
      <c r="G65" s="50">
        <v>61526</v>
      </c>
      <c r="H65" s="50">
        <v>69592</v>
      </c>
      <c r="I65" s="50"/>
      <c r="J65" s="50"/>
      <c r="K65" s="50"/>
      <c r="L65" s="50"/>
      <c r="M65" s="50"/>
      <c r="N65" s="50"/>
      <c r="O65" s="50"/>
      <c r="P65" s="50"/>
      <c r="Q65" s="51"/>
    </row>
    <row r="66" spans="2:17" ht="15" thickBot="1" x14ac:dyDescent="0.4">
      <c r="B66" s="60">
        <v>0.19670000000000001</v>
      </c>
      <c r="C66" s="55">
        <v>33458</v>
      </c>
      <c r="D66" s="55">
        <v>34285</v>
      </c>
      <c r="E66" s="55">
        <v>35609</v>
      </c>
      <c r="F66" s="55">
        <v>37388</v>
      </c>
      <c r="G66" s="55">
        <v>42884</v>
      </c>
      <c r="H66" s="55">
        <v>48451</v>
      </c>
      <c r="I66" s="55"/>
      <c r="J66" s="55"/>
      <c r="K66" s="55"/>
      <c r="L66" s="55"/>
      <c r="M66" s="55"/>
      <c r="N66" s="55"/>
      <c r="O66" s="55"/>
      <c r="P66" s="55"/>
      <c r="Q66" s="5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AJ66"/>
  <sheetViews>
    <sheetView topLeftCell="A4" zoomScaleNormal="100" workbookViewId="0">
      <selection activeCell="I6" sqref="I6:N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5" t="s">
        <v>114</v>
      </c>
      <c r="C1" s="46"/>
      <c r="D1" s="46"/>
      <c r="E1" s="46"/>
      <c r="F1" s="46"/>
      <c r="G1" s="46"/>
      <c r="H1" s="46" t="s">
        <v>38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14</v>
      </c>
      <c r="N1" s="47" t="s">
        <v>16</v>
      </c>
      <c r="P1" s="45" t="s">
        <v>104</v>
      </c>
      <c r="Q1" s="46"/>
      <c r="R1" s="46"/>
      <c r="S1" s="47"/>
      <c r="U1" s="45" t="s">
        <v>67</v>
      </c>
      <c r="V1" s="46"/>
      <c r="W1" s="46" t="s">
        <v>68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</row>
    <row r="2" spans="2:36" x14ac:dyDescent="0.35">
      <c r="B2" s="48" t="s">
        <v>21</v>
      </c>
      <c r="C2" s="49">
        <v>0.28000000000000003</v>
      </c>
      <c r="D2" s="50"/>
      <c r="E2" s="50"/>
      <c r="F2" s="50"/>
      <c r="G2" s="50"/>
      <c r="H2" s="50" t="s">
        <v>60</v>
      </c>
      <c r="I2" s="50">
        <f t="array" ref="I2:N2">LINEST($C$8:$C$28,$B$8:$B$28^{1,2,3,4,5})</f>
        <v>-9.4945923655718421</v>
      </c>
      <c r="J2" s="50">
        <v>22.855731158904728</v>
      </c>
      <c r="K2" s="50">
        <v>-21.345938360772461</v>
      </c>
      <c r="L2" s="50">
        <v>7.9010429955367032</v>
      </c>
      <c r="M2" s="50">
        <v>0.63352134054637355</v>
      </c>
      <c r="N2" s="51">
        <v>6.3258357152137235E-3</v>
      </c>
      <c r="P2" s="52" t="s">
        <v>110</v>
      </c>
      <c r="Q2" s="49" t="s">
        <v>111</v>
      </c>
      <c r="R2" s="49" t="s">
        <v>83</v>
      </c>
      <c r="S2" s="51"/>
      <c r="U2" s="48" t="s">
        <v>74</v>
      </c>
      <c r="V2" s="50">
        <v>20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1"/>
    </row>
    <row r="3" spans="2:36" x14ac:dyDescent="0.35">
      <c r="B3" s="48" t="s">
        <v>34</v>
      </c>
      <c r="C3" s="49">
        <f>B26</f>
        <v>0.79444000000000004</v>
      </c>
      <c r="D3" s="50"/>
      <c r="E3" s="50"/>
      <c r="F3" s="50"/>
      <c r="G3" s="50"/>
      <c r="H3" s="50"/>
      <c r="I3" s="50" t="s">
        <v>7</v>
      </c>
      <c r="J3" s="50" t="s">
        <v>8</v>
      </c>
      <c r="K3" s="50" t="s">
        <v>9</v>
      </c>
      <c r="L3" s="50" t="s">
        <v>10</v>
      </c>
      <c r="M3" s="50" t="s">
        <v>14</v>
      </c>
      <c r="N3" s="51" t="s">
        <v>16</v>
      </c>
      <c r="P3" s="69"/>
      <c r="Q3" s="65"/>
      <c r="R3" s="65"/>
      <c r="S3" s="51"/>
      <c r="U3" s="48" t="s">
        <v>69</v>
      </c>
      <c r="V3" s="61">
        <f>133.332*EXP(20.386-5132/($V$2+273.15))</f>
        <v>2374.2721715276289</v>
      </c>
      <c r="W3" s="61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1"/>
    </row>
    <row r="4" spans="2:36" x14ac:dyDescent="0.35">
      <c r="B4" s="48" t="s">
        <v>39</v>
      </c>
      <c r="C4" s="49">
        <f>B29</f>
        <v>0.92684999999999995</v>
      </c>
      <c r="D4" s="50"/>
      <c r="E4" s="50"/>
      <c r="F4" s="50"/>
      <c r="G4" s="50"/>
      <c r="H4" s="50" t="s">
        <v>51</v>
      </c>
      <c r="I4" s="50">
        <f t="array" ref="I4:N4">LINEST($E$8:$E$29,$B$8:$B$29^{1,2,3,4,5})</f>
        <v>1.4185461924392799</v>
      </c>
      <c r="J4" s="50">
        <v>-3.0591072734090399</v>
      </c>
      <c r="K4" s="50">
        <v>1.9757792270845682</v>
      </c>
      <c r="L4" s="50">
        <v>-0.36268218498477545</v>
      </c>
      <c r="M4" s="50">
        <v>2.7187389176106286E-3</v>
      </c>
      <c r="N4" s="51">
        <v>2.9843378072884924E-2</v>
      </c>
      <c r="P4" s="69"/>
      <c r="Q4" s="65"/>
      <c r="R4" s="65"/>
      <c r="S4" s="51"/>
      <c r="U4" s="48" t="s">
        <v>73</v>
      </c>
      <c r="V4" s="50">
        <f>101325+$V$5*$V$7*$V$6</f>
        <v>105345.7265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</row>
    <row r="5" spans="2:36" x14ac:dyDescent="0.35">
      <c r="B5" s="48" t="s">
        <v>24</v>
      </c>
      <c r="C5" s="50">
        <f>LARGE(C8:C30,1)</f>
        <v>0.89770000000000005</v>
      </c>
      <c r="D5" s="50"/>
      <c r="E5" s="50"/>
      <c r="F5" s="50"/>
      <c r="G5" s="50"/>
      <c r="H5" s="50"/>
      <c r="I5" s="50" t="s">
        <v>7</v>
      </c>
      <c r="J5" s="50" t="s">
        <v>8</v>
      </c>
      <c r="K5" s="50" t="s">
        <v>9</v>
      </c>
      <c r="L5" s="50" t="s">
        <v>10</v>
      </c>
      <c r="M5" s="50" t="s">
        <v>14</v>
      </c>
      <c r="N5" s="51" t="s">
        <v>16</v>
      </c>
      <c r="P5" s="69"/>
      <c r="Q5" s="65"/>
      <c r="R5" s="65"/>
      <c r="S5" s="51"/>
      <c r="U5" s="48" t="s">
        <v>72</v>
      </c>
      <c r="V5" s="50">
        <v>1025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9"/>
    </row>
    <row r="6" spans="2:36" x14ac:dyDescent="0.35">
      <c r="B6" s="48"/>
      <c r="C6" s="50"/>
      <c r="D6" s="50"/>
      <c r="E6" s="50"/>
      <c r="F6" s="50"/>
      <c r="G6" s="50"/>
      <c r="H6" s="50" t="s">
        <v>52</v>
      </c>
      <c r="I6" s="50">
        <f t="array" ref="I6:N6">LINEST($D$8:$D$29,$B$8:$B$29^{1,2,3,4,5})</f>
        <v>1.6103051430834419</v>
      </c>
      <c r="J6" s="50">
        <v>-3.0830654454352344</v>
      </c>
      <c r="K6" s="50">
        <v>1.5831317648070951</v>
      </c>
      <c r="L6" s="50">
        <v>-0.15861422707555298</v>
      </c>
      <c r="M6" s="50">
        <v>1.9975152007912712E-2</v>
      </c>
      <c r="N6" s="51">
        <v>3.5972476017250343E-2</v>
      </c>
      <c r="P6" s="69"/>
      <c r="Q6" s="65"/>
      <c r="R6" s="65"/>
      <c r="S6" s="51"/>
      <c r="U6" s="48" t="s">
        <v>70</v>
      </c>
      <c r="V6" s="50">
        <v>0.4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9"/>
    </row>
    <row r="7" spans="2:36" x14ac:dyDescent="0.35">
      <c r="B7" s="48" t="s">
        <v>0</v>
      </c>
      <c r="C7" s="50" t="s">
        <v>15</v>
      </c>
      <c r="D7" s="50" t="s">
        <v>50</v>
      </c>
      <c r="E7" s="50" t="s">
        <v>49</v>
      </c>
      <c r="F7" s="50"/>
      <c r="G7" s="50"/>
      <c r="H7" s="50"/>
      <c r="I7" s="50"/>
      <c r="J7" s="50"/>
      <c r="K7" s="50"/>
      <c r="L7" s="50"/>
      <c r="M7" s="50"/>
      <c r="N7" s="51"/>
      <c r="P7" s="69"/>
      <c r="Q7" s="65"/>
      <c r="R7" s="65"/>
      <c r="S7" s="51"/>
      <c r="U7" s="48" t="s">
        <v>71</v>
      </c>
      <c r="V7" s="50">
        <v>9.8066499999999994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x14ac:dyDescent="0.35">
      <c r="B8">
        <v>0</v>
      </c>
      <c r="C8">
        <v>0</v>
      </c>
      <c r="D8" s="68">
        <v>3.5889999999999998E-2</v>
      </c>
      <c r="E8" s="68">
        <v>2.997E-2</v>
      </c>
      <c r="F8" s="50"/>
      <c r="G8" s="50"/>
      <c r="H8" s="50"/>
      <c r="I8" s="50"/>
      <c r="J8" s="50"/>
      <c r="K8" s="50"/>
      <c r="L8" s="50"/>
      <c r="M8" s="50"/>
      <c r="N8" s="51"/>
      <c r="P8" s="69"/>
      <c r="Q8" s="65"/>
      <c r="R8" s="65"/>
      <c r="S8" s="51"/>
      <c r="U8" s="48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1"/>
    </row>
    <row r="9" spans="2:36" x14ac:dyDescent="0.35">
      <c r="B9">
        <v>4.4139999999999999E-2</v>
      </c>
      <c r="C9">
        <v>5.5300000000000002E-2</v>
      </c>
      <c r="D9" s="68">
        <v>3.6429999999999997E-2</v>
      </c>
      <c r="E9" s="68">
        <v>2.9059999999999999E-2</v>
      </c>
      <c r="F9" s="50"/>
      <c r="G9" s="50"/>
      <c r="H9" s="50"/>
      <c r="I9" s="50"/>
      <c r="J9" s="50"/>
      <c r="K9" s="50"/>
      <c r="L9" s="50"/>
      <c r="M9" s="50"/>
      <c r="N9" s="51"/>
      <c r="P9" s="69"/>
      <c r="Q9" s="65"/>
      <c r="R9" s="65"/>
      <c r="S9" s="51"/>
      <c r="T9" t="s">
        <v>6</v>
      </c>
      <c r="U9" s="48"/>
      <c r="V9" s="50"/>
      <c r="W9" s="50"/>
      <c r="X9" s="50"/>
      <c r="Y9" s="50" t="s">
        <v>109</v>
      </c>
      <c r="Z9" s="50">
        <v>0.14000000000000001</v>
      </c>
      <c r="AA9" s="50"/>
      <c r="AB9" s="50"/>
      <c r="AC9" s="50"/>
      <c r="AD9" s="50"/>
      <c r="AE9" s="50"/>
      <c r="AF9" s="50"/>
      <c r="AG9" s="50"/>
      <c r="AH9" s="50"/>
      <c r="AI9" s="50"/>
      <c r="AJ9" s="51"/>
    </row>
    <row r="10" spans="2:36" x14ac:dyDescent="0.35">
      <c r="B10">
        <v>8.8270000000000001E-2</v>
      </c>
      <c r="C10">
        <v>0.1169</v>
      </c>
      <c r="D10" s="68">
        <v>3.7449999999999997E-2</v>
      </c>
      <c r="E10" s="68">
        <v>2.828E-2</v>
      </c>
      <c r="F10" s="49"/>
      <c r="G10" s="49"/>
      <c r="H10" s="50"/>
      <c r="I10" s="50"/>
      <c r="J10" s="49"/>
      <c r="K10" s="50"/>
      <c r="L10" s="50"/>
      <c r="M10" s="50"/>
      <c r="N10" s="51"/>
      <c r="P10" s="69"/>
      <c r="Q10" s="65"/>
      <c r="R10" s="65"/>
      <c r="S10" s="59"/>
      <c r="T10" t="s">
        <v>6</v>
      </c>
      <c r="U10" s="48" t="s">
        <v>77</v>
      </c>
      <c r="V10" s="50" t="s">
        <v>78</v>
      </c>
      <c r="W10" s="50" t="s">
        <v>79</v>
      </c>
      <c r="X10" s="50" t="s">
        <v>80</v>
      </c>
      <c r="Y10" s="50" t="s">
        <v>76</v>
      </c>
      <c r="Z10" s="50" t="s">
        <v>86</v>
      </c>
      <c r="AA10" s="50" t="s">
        <v>87</v>
      </c>
      <c r="AB10" s="50" t="s">
        <v>76</v>
      </c>
      <c r="AC10" s="50"/>
      <c r="AD10" s="50"/>
      <c r="AE10" s="50"/>
      <c r="AF10" s="50"/>
      <c r="AG10" s="50"/>
      <c r="AH10" s="50"/>
      <c r="AI10" s="50"/>
      <c r="AJ10" s="51"/>
    </row>
    <row r="11" spans="2:36" x14ac:dyDescent="0.35">
      <c r="B11">
        <v>0.13241</v>
      </c>
      <c r="C11">
        <v>0.186</v>
      </c>
      <c r="D11" s="68">
        <v>3.9019999999999999E-2</v>
      </c>
      <c r="E11" s="68">
        <v>2.777E-2</v>
      </c>
      <c r="F11" s="49"/>
      <c r="G11" s="49"/>
      <c r="H11" s="50"/>
      <c r="I11" s="50"/>
      <c r="J11" s="49"/>
      <c r="K11" s="50"/>
      <c r="L11" s="50"/>
      <c r="M11" s="50"/>
      <c r="N11" s="51"/>
      <c r="P11" s="69"/>
      <c r="Q11" s="65"/>
      <c r="R11" s="65"/>
      <c r="S11" s="51"/>
      <c r="T11">
        <f>120*53/14</f>
        <v>454.28571428571428</v>
      </c>
      <c r="U11" s="48">
        <v>1</v>
      </c>
      <c r="V11" s="62">
        <f>T11*PI()/30</f>
        <v>47.572688754359724</v>
      </c>
      <c r="W11" s="63">
        <f>V11*$Z$9</f>
        <v>6.6601764256103619</v>
      </c>
      <c r="X11" s="63">
        <f t="shared" ref="X11:X16" si="0">SQRT(W11^2+U11^2)</f>
        <v>6.7348311055479346</v>
      </c>
      <c r="Y11" s="63">
        <f t="shared" ref="Y11:Y16" si="1">($V$3-$V$4-$V$5*$V$6*$V$7)/(0.5*$V$5*X11^2)</f>
        <v>-4.6026160968825423</v>
      </c>
      <c r="Z11" s="63">
        <f>0.69375*$Z$9*V11</f>
        <v>4.6204973952671882</v>
      </c>
      <c r="AA11" s="63">
        <f t="shared" ref="AA11:AA16" si="2">SQRT(Z11^2+U11^2)</f>
        <v>4.7274724938037309</v>
      </c>
      <c r="AB11" s="63">
        <f t="shared" ref="AB11:AB16" si="3">($V$3-$V$4-$V$5*$V$6*$V$7)/(0.5*$V$5*AA11^2)</f>
        <v>-9.3411457591424885</v>
      </c>
      <c r="AC11" s="50"/>
      <c r="AD11" s="50"/>
      <c r="AE11" s="50"/>
      <c r="AF11" s="50"/>
      <c r="AG11" s="50"/>
      <c r="AH11" s="50"/>
      <c r="AI11" s="50"/>
      <c r="AJ11" s="51"/>
    </row>
    <row r="12" spans="2:36" x14ac:dyDescent="0.35">
      <c r="B12">
        <v>0.17654</v>
      </c>
      <c r="C12">
        <v>0.26250000000000001</v>
      </c>
      <c r="D12" s="68">
        <v>4.1090000000000002E-2</v>
      </c>
      <c r="E12" s="68">
        <v>2.7640000000000001E-2</v>
      </c>
      <c r="F12" s="49"/>
      <c r="G12" s="49"/>
      <c r="H12" s="50"/>
      <c r="I12" s="50"/>
      <c r="J12" s="49"/>
      <c r="K12" s="50"/>
      <c r="L12" s="50"/>
      <c r="M12" s="50"/>
      <c r="N12" s="51"/>
      <c r="P12" s="69"/>
      <c r="Q12" s="65"/>
      <c r="R12" s="65"/>
      <c r="S12" s="51"/>
      <c r="T12">
        <f t="shared" ref="T12:T16" si="4">120*53/14</f>
        <v>454.28571428571428</v>
      </c>
      <c r="U12" s="48">
        <v>2</v>
      </c>
      <c r="V12" s="62">
        <f t="shared" ref="V12:V16" si="5">T12*PI()/30</f>
        <v>47.572688754359724</v>
      </c>
      <c r="W12" s="63">
        <f t="shared" ref="W12:W16" si="6">V12*$Z$9</f>
        <v>6.6601764256103619</v>
      </c>
      <c r="X12" s="63">
        <f t="shared" si="0"/>
        <v>6.9539880658695425</v>
      </c>
      <c r="Y12" s="63">
        <f t="shared" si="1"/>
        <v>-4.3170819027145955</v>
      </c>
      <c r="Z12" s="63">
        <f t="shared" ref="Z12:Z16" si="7">0.69375*$Z$9*V12</f>
        <v>4.6204973952671882</v>
      </c>
      <c r="AA12" s="63">
        <f t="shared" si="2"/>
        <v>5.0347786624310373</v>
      </c>
      <c r="AB12" s="63">
        <f t="shared" si="3"/>
        <v>-8.2356409462970213</v>
      </c>
      <c r="AC12" s="50"/>
      <c r="AD12" s="50"/>
      <c r="AE12" s="50"/>
      <c r="AF12" s="50"/>
      <c r="AG12" s="50"/>
      <c r="AH12" s="50"/>
      <c r="AI12" s="50"/>
      <c r="AJ12" s="51"/>
    </row>
    <row r="13" spans="2:36" x14ac:dyDescent="0.35">
      <c r="B13">
        <v>0.22067999999999999</v>
      </c>
      <c r="C13">
        <v>0.34410000000000002</v>
      </c>
      <c r="D13" s="68">
        <v>4.36E-2</v>
      </c>
      <c r="E13" s="68">
        <v>2.7959999999999999E-2</v>
      </c>
      <c r="F13" s="49"/>
      <c r="G13" s="49"/>
      <c r="H13" s="50"/>
      <c r="I13" s="50"/>
      <c r="J13" s="49"/>
      <c r="K13" s="50"/>
      <c r="L13" s="50"/>
      <c r="M13" s="50"/>
      <c r="N13" s="51"/>
      <c r="P13" s="69"/>
      <c r="Q13" s="65"/>
      <c r="R13" s="65"/>
      <c r="S13" s="51"/>
      <c r="T13">
        <f>R19</f>
        <v>545.4545454545455</v>
      </c>
      <c r="U13" s="48">
        <v>3</v>
      </c>
      <c r="V13" s="62">
        <f t="shared" si="5"/>
        <v>57.119866428905333</v>
      </c>
      <c r="W13" s="63">
        <f t="shared" si="6"/>
        <v>7.9967813000467469</v>
      </c>
      <c r="X13" s="63">
        <f t="shared" si="0"/>
        <v>8.5409900574100508</v>
      </c>
      <c r="Y13" s="63">
        <f t="shared" si="1"/>
        <v>-2.8618161983417174</v>
      </c>
      <c r="Z13" s="63">
        <f t="shared" si="7"/>
        <v>5.5477670269074304</v>
      </c>
      <c r="AA13" s="63">
        <f t="shared" si="2"/>
        <v>6.3069579818515766</v>
      </c>
      <c r="AB13" s="63">
        <f t="shared" si="3"/>
        <v>-5.2482956844353348</v>
      </c>
      <c r="AC13" s="50"/>
      <c r="AD13" s="50"/>
      <c r="AE13" s="50"/>
      <c r="AF13" s="50"/>
      <c r="AG13" s="50"/>
      <c r="AH13" s="50"/>
      <c r="AI13" s="50"/>
      <c r="AJ13" s="51"/>
    </row>
    <row r="14" spans="2:36" ht="15" thickBot="1" x14ac:dyDescent="0.4">
      <c r="B14">
        <v>0.26480999999999999</v>
      </c>
      <c r="C14">
        <v>0.42749999999999999</v>
      </c>
      <c r="D14" s="68">
        <v>4.6440000000000002E-2</v>
      </c>
      <c r="E14" s="68">
        <v>2.877E-2</v>
      </c>
      <c r="F14" s="49"/>
      <c r="G14" s="49"/>
      <c r="H14" s="50"/>
      <c r="I14" s="50"/>
      <c r="J14" s="49"/>
      <c r="K14" s="50"/>
      <c r="L14" s="50"/>
      <c r="M14" s="50"/>
      <c r="N14" s="51"/>
      <c r="P14" s="60"/>
      <c r="Q14" s="55"/>
      <c r="R14" s="55"/>
      <c r="S14" s="56"/>
      <c r="T14">
        <f t="shared" si="4"/>
        <v>454.28571428571428</v>
      </c>
      <c r="U14" s="48">
        <v>4</v>
      </c>
      <c r="V14" s="62">
        <f t="shared" si="5"/>
        <v>47.572688754359724</v>
      </c>
      <c r="W14" s="63">
        <f t="shared" si="6"/>
        <v>6.6601764256103619</v>
      </c>
      <c r="X14" s="63">
        <f t="shared" si="0"/>
        <v>7.7690379082777055</v>
      </c>
      <c r="Y14" s="63">
        <f t="shared" si="1"/>
        <v>-3.4587859729292147</v>
      </c>
      <c r="Z14" s="63">
        <f t="shared" si="7"/>
        <v>4.6204973952671882</v>
      </c>
      <c r="AA14" s="63">
        <f t="shared" si="2"/>
        <v>6.1113825096839482</v>
      </c>
      <c r="AB14" s="63">
        <f t="shared" si="3"/>
        <v>-5.5895807716100121</v>
      </c>
      <c r="AC14" s="50"/>
      <c r="AD14" s="50"/>
      <c r="AE14" s="50"/>
      <c r="AF14" s="50"/>
      <c r="AG14" s="50"/>
      <c r="AH14" s="50"/>
      <c r="AI14" s="50"/>
      <c r="AJ14" s="51"/>
    </row>
    <row r="15" spans="2:36" x14ac:dyDescent="0.35">
      <c r="B15">
        <v>0.30895</v>
      </c>
      <c r="C15">
        <v>0.50819999999999999</v>
      </c>
      <c r="D15" s="68">
        <v>4.9509999999999998E-2</v>
      </c>
      <c r="E15" s="68">
        <v>3.0099999999999998E-2</v>
      </c>
      <c r="F15" s="49"/>
      <c r="G15" s="49"/>
      <c r="H15" s="50"/>
      <c r="I15" s="50"/>
      <c r="J15" s="49"/>
      <c r="K15" s="50"/>
      <c r="L15" s="50"/>
      <c r="M15" s="50"/>
      <c r="N15" s="51"/>
      <c r="T15">
        <f t="shared" si="4"/>
        <v>454.28571428571428</v>
      </c>
      <c r="U15" s="48">
        <v>5</v>
      </c>
      <c r="V15" s="62">
        <f t="shared" si="5"/>
        <v>47.572688754359724</v>
      </c>
      <c r="W15" s="63">
        <f t="shared" si="6"/>
        <v>6.6601764256103619</v>
      </c>
      <c r="X15" s="63">
        <f t="shared" si="0"/>
        <v>8.3281420509172417</v>
      </c>
      <c r="Y15" s="63">
        <f t="shared" si="1"/>
        <v>-3.0099682995799921</v>
      </c>
      <c r="Z15" s="63">
        <f t="shared" si="7"/>
        <v>4.6204973952671882</v>
      </c>
      <c r="AA15" s="63">
        <f t="shared" si="2"/>
        <v>6.8080097076657342</v>
      </c>
      <c r="AB15" s="63">
        <f t="shared" si="3"/>
        <v>-4.5042017754936969</v>
      </c>
      <c r="AC15" s="50"/>
      <c r="AD15" s="50"/>
      <c r="AE15" s="50"/>
      <c r="AF15" s="64"/>
      <c r="AG15" s="64"/>
      <c r="AH15" s="50"/>
      <c r="AI15" s="50"/>
      <c r="AJ15" s="51"/>
    </row>
    <row r="16" spans="2:36" x14ac:dyDescent="0.35">
      <c r="B16">
        <v>0.35309000000000001</v>
      </c>
      <c r="C16">
        <v>0.58260000000000001</v>
      </c>
      <c r="D16" s="68">
        <v>5.271E-2</v>
      </c>
      <c r="E16" s="68">
        <v>3.1940000000000003E-2</v>
      </c>
      <c r="F16" s="49"/>
      <c r="G16" s="49"/>
      <c r="H16" s="50"/>
      <c r="I16" s="50"/>
      <c r="J16" s="49"/>
      <c r="K16" s="50"/>
      <c r="L16" s="50"/>
      <c r="M16" s="50"/>
      <c r="N16" s="51"/>
      <c r="R16" t="s">
        <v>132</v>
      </c>
      <c r="T16">
        <f t="shared" si="4"/>
        <v>454.28571428571428</v>
      </c>
      <c r="U16" s="48">
        <v>6</v>
      </c>
      <c r="V16" s="62">
        <f t="shared" si="5"/>
        <v>47.572688754359724</v>
      </c>
      <c r="W16" s="63">
        <f t="shared" si="6"/>
        <v>6.6601764256103619</v>
      </c>
      <c r="X16" s="63">
        <f t="shared" si="0"/>
        <v>8.9642595913023424</v>
      </c>
      <c r="Y16" s="63">
        <f t="shared" si="1"/>
        <v>-2.5979412221466593</v>
      </c>
      <c r="Z16" s="63">
        <f t="shared" si="7"/>
        <v>4.6204973952671882</v>
      </c>
      <c r="AA16" s="63">
        <f t="shared" si="2"/>
        <v>7.5729120013156672</v>
      </c>
      <c r="AB16" s="63">
        <f t="shared" si="3"/>
        <v>-3.6402595475389941</v>
      </c>
      <c r="AC16" s="50"/>
      <c r="AD16" s="50"/>
      <c r="AE16" s="50"/>
      <c r="AF16" s="64"/>
      <c r="AG16" s="64"/>
      <c r="AH16" s="50"/>
      <c r="AI16" s="50"/>
      <c r="AJ16" s="51"/>
    </row>
    <row r="17" spans="2:36" x14ac:dyDescent="0.35">
      <c r="B17">
        <v>0.39722000000000002</v>
      </c>
      <c r="C17">
        <v>0.64790000000000003</v>
      </c>
      <c r="D17" s="68">
        <v>5.595E-2</v>
      </c>
      <c r="E17" s="68">
        <v>3.4299999999999997E-2</v>
      </c>
      <c r="F17" s="49"/>
      <c r="G17" s="49"/>
      <c r="H17" s="50"/>
      <c r="I17" s="50"/>
      <c r="J17" s="49"/>
      <c r="K17" s="50"/>
      <c r="L17" s="50"/>
      <c r="M17" s="50"/>
      <c r="N17" s="51"/>
      <c r="R17">
        <v>50</v>
      </c>
      <c r="U17" s="48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1"/>
    </row>
    <row r="18" spans="2:36" x14ac:dyDescent="0.35">
      <c r="B18">
        <v>0.44135999999999997</v>
      </c>
      <c r="C18">
        <v>0.7026</v>
      </c>
      <c r="D18" s="68">
        <v>5.917E-2</v>
      </c>
      <c r="E18" s="68">
        <v>3.7170000000000002E-2</v>
      </c>
      <c r="F18" s="49"/>
      <c r="G18" s="49"/>
      <c r="H18" s="50"/>
      <c r="I18" s="50"/>
      <c r="J18" s="49"/>
      <c r="K18" s="50"/>
      <c r="L18" s="50"/>
      <c r="M18" s="50"/>
      <c r="N18" s="51"/>
      <c r="R18">
        <v>11</v>
      </c>
      <c r="U18" s="48"/>
      <c r="V18" s="50"/>
      <c r="W18" s="50"/>
      <c r="X18" s="50"/>
      <c r="Y18" s="50"/>
      <c r="Z18" s="50"/>
      <c r="AA18" s="50"/>
      <c r="AB18" s="50">
        <f>0.7*Z9</f>
        <v>9.8000000000000004E-2</v>
      </c>
      <c r="AC18" s="50"/>
      <c r="AD18" s="50"/>
      <c r="AE18" s="50"/>
      <c r="AF18" s="50"/>
      <c r="AI18" s="50"/>
      <c r="AJ18" s="51"/>
    </row>
    <row r="19" spans="2:36" x14ac:dyDescent="0.35">
      <c r="B19">
        <v>0.48548999999999998</v>
      </c>
      <c r="C19">
        <v>0.74639999999999995</v>
      </c>
      <c r="D19" s="68">
        <v>6.2300000000000001E-2</v>
      </c>
      <c r="E19" s="68">
        <v>4.0529999999999997E-2</v>
      </c>
      <c r="F19" s="49"/>
      <c r="G19" s="49"/>
      <c r="H19" s="50"/>
      <c r="I19" s="50"/>
      <c r="J19" s="49"/>
      <c r="K19" s="50"/>
      <c r="L19" s="50"/>
      <c r="M19" s="50"/>
      <c r="N19" s="51"/>
      <c r="R19">
        <f>120*R17/R18</f>
        <v>545.4545454545455</v>
      </c>
      <c r="U19" s="48" t="s">
        <v>81</v>
      </c>
      <c r="V19" s="50" t="s">
        <v>63</v>
      </c>
      <c r="W19" s="50"/>
      <c r="X19" s="50"/>
      <c r="Y19" s="50"/>
      <c r="Z19" s="50"/>
      <c r="AA19" s="50"/>
      <c r="AB19" s="50" t="s">
        <v>88</v>
      </c>
      <c r="AC19" s="50"/>
      <c r="AD19" s="50"/>
      <c r="AE19" s="50"/>
      <c r="AF19" s="50"/>
      <c r="AG19" s="50"/>
      <c r="AH19" s="50"/>
      <c r="AI19" s="50"/>
      <c r="AJ19" s="51"/>
    </row>
    <row r="20" spans="2:36" x14ac:dyDescent="0.35">
      <c r="B20">
        <v>0.52963000000000005</v>
      </c>
      <c r="C20">
        <v>0.78149999999999997</v>
      </c>
      <c r="D20" s="68">
        <v>6.5310000000000007E-2</v>
      </c>
      <c r="E20" s="68">
        <v>4.4260000000000001E-2</v>
      </c>
      <c r="F20" s="49"/>
      <c r="G20" s="49"/>
      <c r="H20" s="50"/>
      <c r="I20" s="50"/>
      <c r="J20" s="49"/>
      <c r="K20" s="50"/>
      <c r="L20" s="50"/>
      <c r="M20" s="50"/>
      <c r="N20" s="51"/>
      <c r="U20" s="48" t="s">
        <v>77</v>
      </c>
      <c r="V20" s="50" t="s">
        <v>64</v>
      </c>
      <c r="W20" s="50" t="s">
        <v>95</v>
      </c>
      <c r="X20" s="50"/>
      <c r="Y20" s="50" t="s">
        <v>75</v>
      </c>
      <c r="Z20" s="50" t="s">
        <v>100</v>
      </c>
      <c r="AA20" s="50"/>
      <c r="AB20" s="50" t="s">
        <v>64</v>
      </c>
      <c r="AC20" s="50" t="s">
        <v>95</v>
      </c>
      <c r="AD20" s="50"/>
      <c r="AE20" s="50" t="s">
        <v>75</v>
      </c>
      <c r="AF20" s="50" t="s">
        <v>100</v>
      </c>
      <c r="AG20" s="50"/>
      <c r="AH20" s="50"/>
      <c r="AI20" s="50"/>
      <c r="AJ20" s="51"/>
    </row>
    <row r="21" spans="2:36" x14ac:dyDescent="0.35">
      <c r="B21">
        <v>0.57377</v>
      </c>
      <c r="C21">
        <v>0.83379999999999999</v>
      </c>
      <c r="D21" s="68">
        <v>6.2789999999999999E-2</v>
      </c>
      <c r="E21" s="68">
        <v>4.3209999999999998E-2</v>
      </c>
      <c r="F21" s="49"/>
      <c r="G21" s="49"/>
      <c r="H21" s="50"/>
      <c r="I21" s="50"/>
      <c r="J21" s="49"/>
      <c r="K21" s="50"/>
      <c r="L21" s="50"/>
      <c r="M21" s="50"/>
      <c r="N21" s="51"/>
      <c r="R21">
        <f>85*R17/R18</f>
        <v>386.36363636363637</v>
      </c>
      <c r="U21" s="48">
        <v>1</v>
      </c>
      <c r="V21" s="50"/>
      <c r="W21" s="50"/>
      <c r="X21" s="50"/>
      <c r="Y21" s="66"/>
      <c r="Z21" s="50" t="e">
        <f t="shared" ref="Z21:Z25" si="8">Y11/Y21</f>
        <v>#DIV/0!</v>
      </c>
      <c r="AA21" s="50"/>
      <c r="AB21" s="50"/>
      <c r="AC21" s="50"/>
      <c r="AD21" s="50"/>
      <c r="AE21" s="50"/>
      <c r="AF21" s="50" t="e">
        <f t="shared" ref="AF21:AF25" si="9">AB11/AE21</f>
        <v>#DIV/0!</v>
      </c>
      <c r="AG21" s="50"/>
      <c r="AH21" s="50"/>
      <c r="AI21" s="50"/>
      <c r="AJ21" s="51"/>
    </row>
    <row r="22" spans="2:36" x14ac:dyDescent="0.35">
      <c r="B22">
        <v>0.6179</v>
      </c>
      <c r="C22">
        <v>0.85499999999999998</v>
      </c>
      <c r="D22" s="68">
        <v>5.6180000000000001E-2</v>
      </c>
      <c r="E22" s="68">
        <v>4.0599999999999997E-2</v>
      </c>
      <c r="F22" s="49"/>
      <c r="G22" s="49"/>
      <c r="H22" s="50"/>
      <c r="I22" s="50"/>
      <c r="J22" s="49"/>
      <c r="K22" s="50"/>
      <c r="L22" s="50"/>
      <c r="M22" s="50"/>
      <c r="N22" s="51"/>
      <c r="U22" s="48">
        <v>2</v>
      </c>
      <c r="V22" s="50"/>
      <c r="W22" s="50"/>
      <c r="X22" s="50"/>
      <c r="Y22" s="66"/>
      <c r="Z22" s="50" t="e">
        <f t="shared" si="8"/>
        <v>#DIV/0!</v>
      </c>
      <c r="AA22" s="50"/>
      <c r="AB22" s="50"/>
      <c r="AC22" s="50"/>
      <c r="AD22" s="50"/>
      <c r="AE22" s="50"/>
      <c r="AF22" s="50" t="e">
        <f t="shared" si="9"/>
        <v>#DIV/0!</v>
      </c>
      <c r="AG22" s="50"/>
      <c r="AH22" s="50"/>
      <c r="AI22" s="50"/>
      <c r="AJ22" s="51"/>
    </row>
    <row r="23" spans="2:36" x14ac:dyDescent="0.35">
      <c r="B23">
        <v>0.66203999999999996</v>
      </c>
      <c r="C23">
        <v>0.87290000000000001</v>
      </c>
      <c r="D23" s="68">
        <v>4.9349999999999998E-2</v>
      </c>
      <c r="E23" s="68">
        <v>3.7429999999999998E-2</v>
      </c>
      <c r="F23" s="49"/>
      <c r="G23" s="49"/>
      <c r="H23" s="50"/>
      <c r="I23" s="50"/>
      <c r="J23" s="49"/>
      <c r="K23" s="50"/>
      <c r="L23" s="50"/>
      <c r="M23" s="50"/>
      <c r="N23" s="51"/>
      <c r="U23" s="48">
        <v>3</v>
      </c>
      <c r="V23" s="75">
        <v>104272</v>
      </c>
      <c r="W23" s="50">
        <v>1.1355</v>
      </c>
      <c r="X23" s="50"/>
      <c r="Y23" s="66">
        <v>-2.8325</v>
      </c>
      <c r="Z23" s="50">
        <f t="shared" si="8"/>
        <v>1.0103499376316742</v>
      </c>
      <c r="AA23" s="50"/>
      <c r="AB23" s="50"/>
      <c r="AC23" s="50"/>
      <c r="AD23" s="50"/>
      <c r="AE23" s="66"/>
      <c r="AF23" s="50" t="e">
        <f t="shared" si="9"/>
        <v>#DIV/0!</v>
      </c>
      <c r="AG23" s="50"/>
      <c r="AH23" s="50"/>
      <c r="AI23" s="50"/>
      <c r="AJ23" s="51"/>
    </row>
    <row r="24" spans="2:36" x14ac:dyDescent="0.35">
      <c r="B24">
        <v>0.70616999999999996</v>
      </c>
      <c r="C24">
        <v>0.88719999999999999</v>
      </c>
      <c r="D24" s="68">
        <v>4.2320000000000003E-2</v>
      </c>
      <c r="E24" s="68">
        <v>3.3680000000000002E-2</v>
      </c>
      <c r="F24" s="49"/>
      <c r="G24" s="49"/>
      <c r="H24" s="50"/>
      <c r="I24" s="50"/>
      <c r="J24" s="49"/>
      <c r="K24" s="50"/>
      <c r="L24" s="50"/>
      <c r="M24" s="50"/>
      <c r="N24" s="51"/>
      <c r="U24" s="48">
        <v>4</v>
      </c>
      <c r="V24" s="50"/>
      <c r="W24" s="50"/>
      <c r="X24" s="50"/>
      <c r="Y24" s="66"/>
      <c r="Z24" s="50" t="e">
        <f t="shared" si="8"/>
        <v>#DIV/0!</v>
      </c>
      <c r="AA24" s="50"/>
      <c r="AB24" s="50"/>
      <c r="AC24" s="50"/>
      <c r="AD24" s="50"/>
      <c r="AE24" s="66"/>
      <c r="AF24" s="50" t="e">
        <f t="shared" si="9"/>
        <v>#DIV/0!</v>
      </c>
      <c r="AG24" s="50"/>
      <c r="AH24" s="50"/>
      <c r="AI24" s="50"/>
      <c r="AJ24" s="51"/>
    </row>
    <row r="25" spans="2:36" x14ac:dyDescent="0.35">
      <c r="B25">
        <v>0.75031000000000003</v>
      </c>
      <c r="C25">
        <v>0.89670000000000005</v>
      </c>
      <c r="D25" s="68">
        <v>3.5049999999999998E-2</v>
      </c>
      <c r="E25" s="68">
        <v>2.9329999999999998E-2</v>
      </c>
      <c r="F25" s="49"/>
      <c r="G25" s="49"/>
      <c r="H25" s="50"/>
      <c r="I25" s="50"/>
      <c r="J25" s="49"/>
      <c r="K25" s="50"/>
      <c r="L25" s="50"/>
      <c r="M25" s="50"/>
      <c r="N25" s="51"/>
      <c r="U25" s="48">
        <v>5</v>
      </c>
      <c r="V25" s="50"/>
      <c r="W25" s="50"/>
      <c r="X25" s="50"/>
      <c r="Y25" s="50"/>
      <c r="Z25" s="50" t="e">
        <f t="shared" si="8"/>
        <v>#DIV/0!</v>
      </c>
      <c r="AA25" s="50"/>
      <c r="AB25" s="50"/>
      <c r="AC25" s="50"/>
      <c r="AD25" s="50"/>
      <c r="AE25" s="50"/>
      <c r="AF25" s="50" t="e">
        <f t="shared" si="9"/>
        <v>#DIV/0!</v>
      </c>
      <c r="AG25" s="50"/>
      <c r="AH25" s="50"/>
      <c r="AI25" s="50"/>
      <c r="AJ25" s="51"/>
    </row>
    <row r="26" spans="2:36" ht="15" thickBot="1" x14ac:dyDescent="0.4">
      <c r="B26">
        <v>0.79444000000000004</v>
      </c>
      <c r="C26">
        <v>0.89770000000000005</v>
      </c>
      <c r="D26" s="68">
        <v>2.7539999999999999E-2</v>
      </c>
      <c r="E26" s="68">
        <v>2.4369999999999999E-2</v>
      </c>
      <c r="F26" s="49"/>
      <c r="G26" s="49"/>
      <c r="H26" s="50"/>
      <c r="I26" s="50"/>
      <c r="J26" s="50"/>
      <c r="K26" s="50"/>
      <c r="L26" s="50"/>
      <c r="M26" s="50"/>
      <c r="N26" s="51"/>
      <c r="U26" s="60">
        <v>6</v>
      </c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6"/>
    </row>
    <row r="27" spans="2:36" x14ac:dyDescent="0.35">
      <c r="B27">
        <v>0.83857999999999999</v>
      </c>
      <c r="C27">
        <v>0.88149999999999995</v>
      </c>
      <c r="D27" s="68">
        <v>1.976E-2</v>
      </c>
      <c r="E27" s="68">
        <v>1.8800000000000001E-2</v>
      </c>
      <c r="F27" s="49"/>
      <c r="G27" s="49"/>
      <c r="H27" s="50"/>
      <c r="I27" s="50"/>
      <c r="J27" s="50"/>
      <c r="K27" s="50"/>
      <c r="L27" s="50"/>
      <c r="M27" s="50"/>
      <c r="N27" s="51"/>
    </row>
    <row r="28" spans="2:36" x14ac:dyDescent="0.35">
      <c r="B28">
        <v>0.88271999999999995</v>
      </c>
      <c r="C28">
        <v>0.82110000000000005</v>
      </c>
      <c r="D28" s="68">
        <v>1.17E-2</v>
      </c>
      <c r="E28" s="68">
        <v>1.2579999999999999E-2</v>
      </c>
      <c r="F28" s="49"/>
      <c r="G28" s="49"/>
      <c r="H28" s="50"/>
      <c r="I28" s="50"/>
      <c r="J28" s="50"/>
      <c r="K28" s="50"/>
      <c r="L28" s="50"/>
      <c r="M28" s="50"/>
      <c r="N28" s="51"/>
    </row>
    <row r="29" spans="2:36" ht="15" thickBot="1" x14ac:dyDescent="0.4">
      <c r="B29">
        <v>0.92684999999999995</v>
      </c>
      <c r="C29">
        <v>0.5474</v>
      </c>
      <c r="D29" s="68">
        <v>3.375E-3</v>
      </c>
      <c r="E29" s="68">
        <v>5.7149999999999996E-3</v>
      </c>
      <c r="F29" s="54"/>
      <c r="G29" s="54"/>
      <c r="H29" s="55"/>
      <c r="I29" s="55"/>
      <c r="J29" s="55"/>
      <c r="K29" s="55"/>
      <c r="L29" s="55"/>
      <c r="M29" s="55"/>
      <c r="N29" s="56"/>
    </row>
    <row r="30" spans="2:36" x14ac:dyDescent="0.35">
      <c r="D30" s="68"/>
      <c r="E30" s="68"/>
      <c r="F30" s="49"/>
      <c r="G30" s="49"/>
      <c r="H30" s="50"/>
      <c r="I30" s="50"/>
      <c r="J30" s="50"/>
      <c r="K30" s="50"/>
      <c r="L30" s="50"/>
      <c r="M30" s="50"/>
      <c r="N30" s="50"/>
    </row>
    <row r="31" spans="2:36" x14ac:dyDescent="0.35">
      <c r="D31" s="68"/>
      <c r="E31" s="68"/>
      <c r="F31" s="49"/>
      <c r="G31" s="49"/>
      <c r="H31" s="50"/>
      <c r="I31" s="50"/>
      <c r="J31" s="50"/>
      <c r="K31" s="50"/>
      <c r="L31" s="50"/>
      <c r="M31" s="50"/>
      <c r="N31" s="50"/>
    </row>
    <row r="32" spans="2:36" x14ac:dyDescent="0.35">
      <c r="D32" s="68"/>
      <c r="E32" s="68"/>
      <c r="F32" s="49"/>
      <c r="G32" s="49"/>
      <c r="H32" s="50"/>
      <c r="I32" s="50"/>
      <c r="J32" s="50"/>
      <c r="K32" s="50"/>
      <c r="L32" s="50"/>
      <c r="M32" s="50"/>
      <c r="N32" s="50"/>
    </row>
    <row r="33" spans="2:17" x14ac:dyDescent="0.35">
      <c r="D33" s="68"/>
      <c r="E33" s="68"/>
      <c r="F33" s="49"/>
      <c r="G33" s="49"/>
      <c r="H33" s="50"/>
      <c r="I33" s="50"/>
      <c r="J33" s="50"/>
      <c r="K33" s="50"/>
      <c r="L33" s="50"/>
      <c r="M33" s="50"/>
      <c r="N33" s="50"/>
    </row>
    <row r="34" spans="2:17" x14ac:dyDescent="0.35">
      <c r="D34" s="68"/>
      <c r="E34" s="68"/>
      <c r="F34" s="49"/>
      <c r="G34" s="49"/>
      <c r="H34" s="50"/>
      <c r="I34" s="50"/>
      <c r="J34" s="50"/>
      <c r="K34" s="50"/>
      <c r="L34" s="50"/>
      <c r="M34" s="50"/>
      <c r="N34" s="50"/>
    </row>
    <row r="35" spans="2:17" x14ac:dyDescent="0.35">
      <c r="B35" s="49"/>
      <c r="C35" s="49"/>
      <c r="D35" s="49"/>
      <c r="E35" s="49"/>
      <c r="F35" s="49"/>
      <c r="G35" s="49"/>
      <c r="H35" s="50"/>
      <c r="I35" s="50"/>
      <c r="J35" s="50"/>
      <c r="K35" s="50"/>
      <c r="L35" s="50"/>
      <c r="M35" s="50"/>
      <c r="N35" s="50"/>
    </row>
    <row r="36" spans="2:17" x14ac:dyDescent="0.35">
      <c r="B36" s="49"/>
      <c r="C36" s="49"/>
      <c r="D36" s="49"/>
      <c r="E36" s="49"/>
      <c r="F36" s="49"/>
      <c r="G36" s="49"/>
      <c r="H36" s="50"/>
      <c r="I36" s="50"/>
      <c r="J36" s="50"/>
      <c r="K36" s="50"/>
      <c r="L36" s="50"/>
      <c r="M36" s="50"/>
      <c r="N36" s="50"/>
    </row>
    <row r="37" spans="2:17" x14ac:dyDescent="0.35">
      <c r="B37" s="49"/>
      <c r="C37" s="49"/>
      <c r="D37" s="49"/>
      <c r="E37" s="49"/>
      <c r="F37" s="49"/>
      <c r="G37" s="49"/>
      <c r="H37" s="50"/>
      <c r="I37" s="50"/>
      <c r="J37" s="50"/>
      <c r="K37" s="50"/>
      <c r="L37" s="50"/>
      <c r="M37" s="50"/>
      <c r="N37" s="50"/>
    </row>
    <row r="38" spans="2:17" x14ac:dyDescent="0.35">
      <c r="B38" s="49"/>
      <c r="C38" s="49"/>
      <c r="D38" s="49"/>
      <c r="E38" s="49"/>
      <c r="F38" s="49"/>
      <c r="G38" s="49"/>
      <c r="H38" s="50"/>
      <c r="I38" s="50"/>
      <c r="J38" s="50"/>
      <c r="K38" s="50"/>
      <c r="L38" s="50"/>
      <c r="M38" s="50"/>
      <c r="N38" s="50"/>
    </row>
    <row r="39" spans="2:17" ht="15" thickBot="1" x14ac:dyDescent="0.4">
      <c r="F39" s="1"/>
      <c r="G39" s="1"/>
    </row>
    <row r="40" spans="2:17" x14ac:dyDescent="0.35">
      <c r="B40" s="45"/>
      <c r="C40" s="46">
        <v>1</v>
      </c>
      <c r="D40" s="46">
        <v>2</v>
      </c>
      <c r="E40" s="46">
        <v>3</v>
      </c>
      <c r="F40" s="46">
        <v>4</v>
      </c>
      <c r="G40" s="46">
        <v>5</v>
      </c>
      <c r="H40" s="46">
        <v>6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8" t="s">
        <v>62</v>
      </c>
      <c r="C41" s="50" t="s">
        <v>64</v>
      </c>
      <c r="D41" s="50" t="s">
        <v>65</v>
      </c>
      <c r="E41" s="50" t="s">
        <v>64</v>
      </c>
      <c r="F41" s="50" t="s">
        <v>66</v>
      </c>
      <c r="G41" s="50" t="s">
        <v>64</v>
      </c>
      <c r="H41" s="50" t="s">
        <v>64</v>
      </c>
      <c r="I41" s="50"/>
      <c r="J41" s="50"/>
      <c r="K41" s="50"/>
      <c r="L41" s="50"/>
      <c r="M41" s="50"/>
      <c r="N41" s="50"/>
      <c r="O41" s="50"/>
      <c r="P41" s="50"/>
      <c r="Q41" s="51"/>
    </row>
    <row r="42" spans="2:17" x14ac:dyDescent="0.35">
      <c r="B42" s="48">
        <v>3.7100000000000001E-2</v>
      </c>
      <c r="C42" s="50">
        <v>19940</v>
      </c>
      <c r="D42" s="50">
        <v>27915</v>
      </c>
      <c r="E42" s="50">
        <v>37619</v>
      </c>
      <c r="F42" s="50">
        <v>48020</v>
      </c>
      <c r="G42" s="50">
        <v>59317</v>
      </c>
      <c r="H42" s="50">
        <v>70660</v>
      </c>
      <c r="I42" s="50"/>
      <c r="J42" s="50"/>
      <c r="K42" s="50"/>
      <c r="L42" s="50"/>
      <c r="M42" s="50"/>
      <c r="N42" s="50"/>
      <c r="O42" s="50"/>
      <c r="P42" s="50"/>
      <c r="Q42" s="51"/>
    </row>
    <row r="43" spans="2:17" x14ac:dyDescent="0.35">
      <c r="B43" s="48">
        <v>4.3799999999999999E-2</v>
      </c>
      <c r="C43" s="50">
        <v>25545</v>
      </c>
      <c r="D43" s="50">
        <v>33878</v>
      </c>
      <c r="E43" s="50">
        <v>44415</v>
      </c>
      <c r="F43" s="50">
        <v>55931</v>
      </c>
      <c r="G43" s="50">
        <v>68814</v>
      </c>
      <c r="H43" s="50">
        <v>81767</v>
      </c>
      <c r="I43" s="50"/>
      <c r="J43" s="50"/>
      <c r="K43" s="50"/>
      <c r="L43" s="50"/>
      <c r="M43" s="50"/>
      <c r="N43" s="50"/>
      <c r="O43" s="50"/>
      <c r="P43" s="50"/>
      <c r="Q43" s="51"/>
    </row>
    <row r="44" spans="2:17" x14ac:dyDescent="0.35">
      <c r="B44" s="48">
        <v>5.04E-2</v>
      </c>
      <c r="C44" s="50">
        <v>31606</v>
      </c>
      <c r="D44" s="50">
        <v>40106</v>
      </c>
      <c r="E44" s="50">
        <v>51222</v>
      </c>
      <c r="F44" s="50">
        <v>63607</v>
      </c>
      <c r="G44" s="50">
        <v>77927</v>
      </c>
      <c r="H44" s="50">
        <v>92344</v>
      </c>
      <c r="I44" s="50"/>
      <c r="J44" s="50"/>
      <c r="K44" s="50"/>
      <c r="L44" s="50"/>
      <c r="M44" s="50"/>
      <c r="N44" s="50"/>
      <c r="O44" s="50"/>
      <c r="P44" s="50"/>
      <c r="Q44" s="51"/>
    </row>
    <row r="45" spans="2:17" x14ac:dyDescent="0.35">
      <c r="B45" s="48">
        <v>5.7099999999999998E-2</v>
      </c>
      <c r="C45" s="50">
        <v>38001</v>
      </c>
      <c r="D45" s="50">
        <v>46524</v>
      </c>
      <c r="E45" s="50">
        <v>57997</v>
      </c>
      <c r="F45" s="50">
        <v>71021</v>
      </c>
      <c r="G45" s="50">
        <v>86627</v>
      </c>
      <c r="H45" s="50">
        <v>102359</v>
      </c>
      <c r="I45" s="50"/>
      <c r="J45" s="50"/>
      <c r="K45" s="50"/>
      <c r="L45" s="50"/>
      <c r="M45" s="50"/>
      <c r="N45" s="50"/>
      <c r="O45" s="50"/>
      <c r="P45" s="50"/>
      <c r="Q45" s="51"/>
    </row>
    <row r="46" spans="2:17" x14ac:dyDescent="0.35">
      <c r="B46" s="48">
        <v>6.3700000000000007E-2</v>
      </c>
      <c r="C46" s="50">
        <v>44541</v>
      </c>
      <c r="D46" s="50">
        <v>52967</v>
      </c>
      <c r="E46" s="50">
        <v>64594</v>
      </c>
      <c r="F46" s="50">
        <v>78023</v>
      </c>
      <c r="G46" s="50">
        <v>94743</v>
      </c>
      <c r="H46" s="50">
        <v>111620</v>
      </c>
      <c r="I46" s="50"/>
      <c r="J46" s="50"/>
      <c r="K46" s="50"/>
      <c r="L46" s="50"/>
      <c r="M46" s="50"/>
      <c r="N46" s="50"/>
      <c r="O46" s="50"/>
      <c r="P46" s="50"/>
      <c r="Q46" s="51"/>
    </row>
    <row r="47" spans="2:17" x14ac:dyDescent="0.35">
      <c r="B47" s="48">
        <v>7.0400000000000004E-2</v>
      </c>
      <c r="C47" s="50">
        <v>50989</v>
      </c>
      <c r="D47" s="50">
        <v>59211</v>
      </c>
      <c r="E47" s="50">
        <v>70798</v>
      </c>
      <c r="F47" s="50">
        <v>84400</v>
      </c>
      <c r="G47" s="50">
        <v>102031</v>
      </c>
      <c r="H47" s="50">
        <v>119847</v>
      </c>
      <c r="I47" s="50"/>
      <c r="J47" s="50"/>
      <c r="K47" s="50"/>
      <c r="L47" s="50"/>
      <c r="M47" s="50"/>
      <c r="N47" s="50"/>
      <c r="O47" s="50"/>
      <c r="P47" s="50"/>
      <c r="Q47" s="51"/>
    </row>
    <row r="48" spans="2:17" x14ac:dyDescent="0.35">
      <c r="B48" s="48">
        <v>7.6999999999999999E-2</v>
      </c>
      <c r="C48" s="50">
        <v>57132</v>
      </c>
      <c r="D48" s="50">
        <v>65063</v>
      </c>
      <c r="E48" s="50">
        <v>76441</v>
      </c>
      <c r="F48" s="50">
        <v>89997</v>
      </c>
      <c r="G48" s="50">
        <v>108322</v>
      </c>
      <c r="H48" s="50">
        <v>126858</v>
      </c>
      <c r="I48" s="50"/>
      <c r="J48" s="50"/>
      <c r="K48" s="50"/>
      <c r="L48" s="50"/>
      <c r="M48" s="50"/>
      <c r="N48" s="50"/>
      <c r="O48" s="50"/>
      <c r="P48" s="50"/>
      <c r="Q48" s="51"/>
    </row>
    <row r="49" spans="2:17" x14ac:dyDescent="0.35">
      <c r="B49" s="48">
        <v>8.3699999999999997E-2</v>
      </c>
      <c r="C49" s="50">
        <v>62876</v>
      </c>
      <c r="D49" s="50">
        <v>70457</v>
      </c>
      <c r="E49" s="50">
        <v>81500</v>
      </c>
      <c r="F49" s="50">
        <v>94836</v>
      </c>
      <c r="G49" s="50">
        <v>113663</v>
      </c>
      <c r="H49" s="50">
        <v>132724</v>
      </c>
      <c r="I49" s="50"/>
      <c r="J49" s="50"/>
      <c r="K49" s="50"/>
      <c r="L49" s="50"/>
      <c r="M49" s="50"/>
      <c r="N49" s="50"/>
      <c r="O49" s="50"/>
      <c r="P49" s="50"/>
      <c r="Q49" s="51"/>
    </row>
    <row r="50" spans="2:17" x14ac:dyDescent="0.35">
      <c r="B50" s="48">
        <v>9.0300000000000005E-2</v>
      </c>
      <c r="C50" s="50">
        <v>68166</v>
      </c>
      <c r="D50" s="50">
        <v>75362</v>
      </c>
      <c r="E50" s="50">
        <v>85983</v>
      </c>
      <c r="F50" s="50">
        <v>98966</v>
      </c>
      <c r="G50" s="50">
        <v>118130</v>
      </c>
      <c r="H50" s="50">
        <v>137547</v>
      </c>
      <c r="I50" s="50"/>
      <c r="J50" s="50"/>
      <c r="K50" s="50"/>
      <c r="L50" s="50"/>
      <c r="M50" s="50"/>
      <c r="N50" s="50"/>
      <c r="O50" s="50"/>
      <c r="P50" s="50"/>
      <c r="Q50" s="51"/>
    </row>
    <row r="51" spans="2:17" x14ac:dyDescent="0.35">
      <c r="B51" s="48">
        <v>9.7000000000000003E-2</v>
      </c>
      <c r="C51" s="50">
        <v>72939</v>
      </c>
      <c r="D51" s="50">
        <v>79732</v>
      </c>
      <c r="E51" s="50">
        <v>89869</v>
      </c>
      <c r="F51" s="50">
        <v>102399</v>
      </c>
      <c r="G51" s="50">
        <v>121753</v>
      </c>
      <c r="H51" s="50">
        <v>141374</v>
      </c>
      <c r="I51" s="50"/>
      <c r="J51" s="50"/>
      <c r="K51" s="50"/>
      <c r="L51" s="50"/>
      <c r="M51" s="50"/>
      <c r="N51" s="50"/>
      <c r="O51" s="50"/>
      <c r="P51" s="50"/>
      <c r="Q51" s="51"/>
    </row>
    <row r="52" spans="2:17" x14ac:dyDescent="0.35">
      <c r="B52" s="48">
        <v>0.1036</v>
      </c>
      <c r="C52" s="50">
        <v>77129</v>
      </c>
      <c r="D52" s="50">
        <v>83508</v>
      </c>
      <c r="E52" s="50">
        <v>93118</v>
      </c>
      <c r="F52" s="50">
        <v>105117</v>
      </c>
      <c r="G52" s="50">
        <v>124526</v>
      </c>
      <c r="H52" s="50">
        <v>144211</v>
      </c>
      <c r="I52" s="50"/>
      <c r="J52" s="50"/>
      <c r="K52" s="50"/>
      <c r="L52" s="50"/>
      <c r="M52" s="50"/>
      <c r="N52" s="50"/>
      <c r="O52" s="50"/>
      <c r="P52" s="50"/>
      <c r="Q52" s="51"/>
    </row>
    <row r="53" spans="2:17" x14ac:dyDescent="0.35">
      <c r="B53" s="48">
        <v>0.1103</v>
      </c>
      <c r="C53" s="50">
        <v>80682</v>
      </c>
      <c r="D53" s="50">
        <v>86644</v>
      </c>
      <c r="E53" s="50">
        <v>95700</v>
      </c>
      <c r="F53" s="50">
        <v>107110</v>
      </c>
      <c r="G53" s="50">
        <v>126446</v>
      </c>
      <c r="H53" s="50">
        <v>146066</v>
      </c>
      <c r="I53" s="50"/>
      <c r="J53" s="50"/>
      <c r="K53" s="50"/>
      <c r="L53" s="50"/>
      <c r="M53" s="50"/>
      <c r="N53" s="50"/>
      <c r="O53" s="50"/>
      <c r="P53" s="50"/>
      <c r="Q53" s="51"/>
    </row>
    <row r="54" spans="2:17" x14ac:dyDescent="0.35">
      <c r="B54" s="48">
        <v>0.1169</v>
      </c>
      <c r="C54" s="50">
        <v>83565</v>
      </c>
      <c r="D54" s="50">
        <v>89112</v>
      </c>
      <c r="E54" s="50">
        <v>97599</v>
      </c>
      <c r="F54" s="50">
        <v>108381</v>
      </c>
      <c r="G54" s="50">
        <v>127529</v>
      </c>
      <c r="H54" s="50">
        <v>146964</v>
      </c>
      <c r="I54" s="50"/>
      <c r="J54" s="50"/>
      <c r="K54" s="50"/>
      <c r="L54" s="50"/>
      <c r="M54" s="50"/>
      <c r="N54" s="50"/>
      <c r="O54" s="50"/>
      <c r="P54" s="50"/>
      <c r="Q54" s="51"/>
    </row>
    <row r="55" spans="2:17" x14ac:dyDescent="0.35">
      <c r="B55" s="48">
        <v>0.1235</v>
      </c>
      <c r="C55" s="50">
        <v>85760</v>
      </c>
      <c r="D55" s="50">
        <v>90900</v>
      </c>
      <c r="E55" s="50">
        <v>98814</v>
      </c>
      <c r="F55" s="50">
        <v>108942</v>
      </c>
      <c r="G55" s="50">
        <v>127799</v>
      </c>
      <c r="H55" s="50">
        <v>146940</v>
      </c>
      <c r="I55" s="50"/>
      <c r="J55" s="50"/>
      <c r="K55" s="50"/>
      <c r="L55" s="50"/>
      <c r="M55" s="50"/>
      <c r="N55" s="50"/>
      <c r="O55" s="50"/>
      <c r="P55" s="50"/>
      <c r="Q55" s="51"/>
    </row>
    <row r="56" spans="2:17" x14ac:dyDescent="0.35">
      <c r="B56" s="48">
        <v>0.13020000000000001</v>
      </c>
      <c r="C56" s="50">
        <v>87219</v>
      </c>
      <c r="D56" s="50">
        <v>91960</v>
      </c>
      <c r="E56" s="50">
        <v>99302</v>
      </c>
      <c r="F56" s="50">
        <v>108759</v>
      </c>
      <c r="G56" s="50">
        <v>127221</v>
      </c>
      <c r="H56" s="50">
        <v>145963</v>
      </c>
      <c r="I56" s="50"/>
      <c r="J56" s="50"/>
      <c r="K56" s="50"/>
      <c r="L56" s="50"/>
      <c r="M56" s="50"/>
      <c r="N56" s="50"/>
      <c r="O56" s="50"/>
      <c r="P56" s="50"/>
      <c r="Q56" s="51"/>
    </row>
    <row r="57" spans="2:17" x14ac:dyDescent="0.35">
      <c r="B57" s="48">
        <v>0.1368</v>
      </c>
      <c r="C57" s="50">
        <v>87823</v>
      </c>
      <c r="D57" s="50">
        <v>92172</v>
      </c>
      <c r="E57" s="50">
        <v>98939</v>
      </c>
      <c r="F57" s="50">
        <v>107710</v>
      </c>
      <c r="G57" s="50">
        <v>125658</v>
      </c>
      <c r="H57" s="50">
        <v>143879</v>
      </c>
      <c r="I57" s="50"/>
      <c r="J57" s="50"/>
      <c r="K57" s="50"/>
      <c r="L57" s="50"/>
      <c r="M57" s="50"/>
      <c r="N57" s="50"/>
      <c r="O57" s="50"/>
      <c r="P57" s="50"/>
      <c r="Q57" s="51"/>
    </row>
    <row r="58" spans="2:17" x14ac:dyDescent="0.35">
      <c r="B58" s="48">
        <v>0.14349999999999999</v>
      </c>
      <c r="C58" s="50">
        <v>87452</v>
      </c>
      <c r="D58" s="50">
        <v>91411</v>
      </c>
      <c r="E58" s="50">
        <v>97600</v>
      </c>
      <c r="F58" s="50">
        <v>105666</v>
      </c>
      <c r="G58" s="50">
        <v>122969</v>
      </c>
      <c r="H58" s="50">
        <v>140533</v>
      </c>
      <c r="I58" s="50"/>
      <c r="J58" s="50"/>
      <c r="K58" s="50"/>
      <c r="L58" s="50"/>
      <c r="M58" s="50"/>
      <c r="N58" s="50"/>
      <c r="O58" s="50"/>
      <c r="P58" s="50"/>
      <c r="Q58" s="51"/>
    </row>
    <row r="59" spans="2:17" x14ac:dyDescent="0.35">
      <c r="B59" s="48">
        <v>0.15010000000000001</v>
      </c>
      <c r="C59" s="50">
        <v>86073</v>
      </c>
      <c r="D59" s="50">
        <v>89648</v>
      </c>
      <c r="E59" s="50">
        <v>95261</v>
      </c>
      <c r="F59" s="50">
        <v>102611</v>
      </c>
      <c r="G59" s="50">
        <v>119139</v>
      </c>
      <c r="H59" s="50">
        <v>135914</v>
      </c>
      <c r="I59" s="50"/>
      <c r="J59" s="50"/>
      <c r="K59" s="50"/>
      <c r="L59" s="50"/>
      <c r="M59" s="50"/>
      <c r="N59" s="50"/>
      <c r="O59" s="50"/>
      <c r="P59" s="50"/>
      <c r="Q59" s="51"/>
    </row>
    <row r="60" spans="2:17" x14ac:dyDescent="0.35">
      <c r="B60" s="48">
        <v>0.15679999999999999</v>
      </c>
      <c r="C60" s="50">
        <v>83721</v>
      </c>
      <c r="D60" s="50">
        <v>86922</v>
      </c>
      <c r="E60" s="50">
        <v>91967</v>
      </c>
      <c r="F60" s="50">
        <v>98603</v>
      </c>
      <c r="G60" s="50">
        <v>114240</v>
      </c>
      <c r="H60" s="50">
        <v>130108</v>
      </c>
      <c r="I60" s="50"/>
      <c r="J60" s="50"/>
      <c r="K60" s="50"/>
      <c r="L60" s="50"/>
      <c r="M60" s="50"/>
      <c r="N60" s="50"/>
      <c r="O60" s="50"/>
      <c r="P60" s="50"/>
      <c r="Q60" s="51"/>
    </row>
    <row r="61" spans="2:17" x14ac:dyDescent="0.35">
      <c r="B61" s="48">
        <v>0.16339999999999999</v>
      </c>
      <c r="C61" s="50">
        <v>80335</v>
      </c>
      <c r="D61" s="50">
        <v>83172</v>
      </c>
      <c r="E61" s="50">
        <v>87657</v>
      </c>
      <c r="F61" s="50">
        <v>93582</v>
      </c>
      <c r="G61" s="50">
        <v>108207</v>
      </c>
      <c r="H61" s="50">
        <v>123044</v>
      </c>
      <c r="I61" s="50"/>
      <c r="J61" s="50"/>
      <c r="K61" s="50"/>
      <c r="L61" s="50"/>
      <c r="M61" s="50"/>
      <c r="N61" s="50"/>
      <c r="O61" s="50"/>
      <c r="P61" s="50"/>
      <c r="Q61" s="51"/>
    </row>
    <row r="62" spans="2:17" x14ac:dyDescent="0.35">
      <c r="B62" s="48">
        <v>0.1701</v>
      </c>
      <c r="C62" s="50">
        <v>75478</v>
      </c>
      <c r="D62" s="50">
        <v>77946</v>
      </c>
      <c r="E62" s="50">
        <v>81861</v>
      </c>
      <c r="F62" s="50">
        <v>87052</v>
      </c>
      <c r="G62" s="50">
        <v>100470</v>
      </c>
      <c r="H62" s="50">
        <v>114079</v>
      </c>
      <c r="I62" s="50"/>
      <c r="J62" s="50"/>
      <c r="K62" s="50"/>
      <c r="L62" s="50"/>
      <c r="M62" s="50"/>
      <c r="N62" s="50"/>
      <c r="O62" s="50"/>
      <c r="P62" s="50"/>
      <c r="Q62" s="51"/>
    </row>
    <row r="63" spans="2:17" x14ac:dyDescent="0.35">
      <c r="B63" s="48">
        <v>0.1767</v>
      </c>
      <c r="C63" s="50">
        <v>68589</v>
      </c>
      <c r="D63" s="50">
        <v>70671</v>
      </c>
      <c r="E63" s="50">
        <v>73984</v>
      </c>
      <c r="F63" s="50">
        <v>78392</v>
      </c>
      <c r="G63" s="50">
        <v>90319</v>
      </c>
      <c r="H63" s="50">
        <v>102413</v>
      </c>
      <c r="I63" s="50"/>
      <c r="J63" s="50"/>
      <c r="K63" s="50"/>
      <c r="L63" s="50"/>
      <c r="M63" s="50"/>
      <c r="N63" s="50"/>
      <c r="O63" s="50"/>
      <c r="P63" s="50"/>
      <c r="Q63" s="51"/>
    </row>
    <row r="64" spans="2:17" x14ac:dyDescent="0.35">
      <c r="B64" s="48">
        <v>0.18340000000000001</v>
      </c>
      <c r="C64" s="50">
        <v>59318</v>
      </c>
      <c r="D64" s="50">
        <v>60993</v>
      </c>
      <c r="E64" s="50">
        <v>63667</v>
      </c>
      <c r="F64" s="50">
        <v>67236</v>
      </c>
      <c r="G64" s="50">
        <v>77342</v>
      </c>
      <c r="H64" s="50">
        <v>87585</v>
      </c>
      <c r="I64" s="50"/>
      <c r="J64" s="50"/>
      <c r="K64" s="50"/>
      <c r="L64" s="50"/>
      <c r="M64" s="50"/>
      <c r="N64" s="50"/>
      <c r="O64" s="50"/>
      <c r="P64" s="50"/>
      <c r="Q64" s="51"/>
    </row>
    <row r="65" spans="2:17" x14ac:dyDescent="0.35">
      <c r="B65" s="48">
        <v>0.19</v>
      </c>
      <c r="C65" s="50">
        <v>47617</v>
      </c>
      <c r="D65" s="50">
        <v>48872</v>
      </c>
      <c r="E65" s="50">
        <v>50879</v>
      </c>
      <c r="F65" s="50">
        <v>53568</v>
      </c>
      <c r="G65" s="50">
        <v>61526</v>
      </c>
      <c r="H65" s="50">
        <v>69592</v>
      </c>
      <c r="I65" s="50"/>
      <c r="J65" s="50"/>
      <c r="K65" s="50"/>
      <c r="L65" s="50"/>
      <c r="M65" s="50"/>
      <c r="N65" s="50"/>
      <c r="O65" s="50"/>
      <c r="P65" s="50"/>
      <c r="Q65" s="51"/>
    </row>
    <row r="66" spans="2:17" ht="15" thickBot="1" x14ac:dyDescent="0.4">
      <c r="B66" s="60">
        <v>0.19670000000000001</v>
      </c>
      <c r="C66" s="55">
        <v>33458</v>
      </c>
      <c r="D66" s="55">
        <v>34285</v>
      </c>
      <c r="E66" s="55">
        <v>35609</v>
      </c>
      <c r="F66" s="55">
        <v>37388</v>
      </c>
      <c r="G66" s="55">
        <v>42884</v>
      </c>
      <c r="H66" s="55">
        <v>48451</v>
      </c>
      <c r="I66" s="55"/>
      <c r="J66" s="55"/>
      <c r="K66" s="55"/>
      <c r="L66" s="55"/>
      <c r="M66" s="55"/>
      <c r="N66" s="55"/>
      <c r="O66" s="55"/>
      <c r="P66" s="55"/>
      <c r="Q66" s="5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AJ57"/>
  <sheetViews>
    <sheetView topLeftCell="L4" zoomScaleNormal="100" workbookViewId="0">
      <selection activeCell="W24" sqref="W24"/>
    </sheetView>
  </sheetViews>
  <sheetFormatPr defaultRowHeight="14.5" x14ac:dyDescent="0.35"/>
  <cols>
    <col min="2" max="2" width="9.26953125" bestFit="1" customWidth="1"/>
    <col min="3" max="3" width="11.816406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5" t="s">
        <v>108</v>
      </c>
      <c r="C1" s="46"/>
      <c r="D1" s="46"/>
      <c r="E1" s="46"/>
      <c r="F1" s="46"/>
      <c r="G1" s="46"/>
      <c r="H1" s="46" t="s">
        <v>38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14</v>
      </c>
      <c r="N1" s="47" t="s">
        <v>16</v>
      </c>
      <c r="P1" s="45" t="s">
        <v>104</v>
      </c>
      <c r="Q1" s="46"/>
      <c r="R1" s="46"/>
      <c r="S1" s="47"/>
      <c r="U1" s="45" t="s">
        <v>67</v>
      </c>
      <c r="V1" s="46"/>
      <c r="W1" s="46" t="s">
        <v>68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</row>
    <row r="2" spans="2:36" x14ac:dyDescent="0.35">
      <c r="B2" s="48" t="s">
        <v>21</v>
      </c>
      <c r="C2" s="49">
        <v>0.3</v>
      </c>
      <c r="D2" s="50"/>
      <c r="E2" s="50"/>
      <c r="F2" s="50"/>
      <c r="G2" s="50"/>
      <c r="H2" s="50" t="s">
        <v>60</v>
      </c>
      <c r="I2" s="50">
        <f t="array" ref="I2:N2">LINEST($C$8:$C$28,$B$8:$B$28^{1,2,3,4,5})</f>
        <v>-10.605638998790219</v>
      </c>
      <c r="J2" s="50">
        <v>25.108901787348213</v>
      </c>
      <c r="K2" s="50">
        <v>-23.075357884884486</v>
      </c>
      <c r="L2" s="50">
        <v>8.5498244458635142</v>
      </c>
      <c r="M2" s="50">
        <v>0.52887823977616977</v>
      </c>
      <c r="N2" s="51">
        <v>7.6172798079423565E-3</v>
      </c>
      <c r="P2" s="52" t="s">
        <v>110</v>
      </c>
      <c r="Q2" s="49" t="s">
        <v>111</v>
      </c>
      <c r="R2" s="49" t="s">
        <v>83</v>
      </c>
      <c r="S2" s="51"/>
      <c r="U2" s="48" t="s">
        <v>74</v>
      </c>
      <c r="V2" s="50">
        <v>20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1"/>
    </row>
    <row r="3" spans="2:36" x14ac:dyDescent="0.35">
      <c r="B3" s="48" t="s">
        <v>34</v>
      </c>
      <c r="C3" s="49">
        <f>B25</f>
        <v>0.76393999999999995</v>
      </c>
      <c r="D3" s="50"/>
      <c r="E3" s="50"/>
      <c r="F3" s="50"/>
      <c r="G3" s="50"/>
      <c r="H3" s="50"/>
      <c r="I3" s="50" t="s">
        <v>7</v>
      </c>
      <c r="J3" s="50" t="s">
        <v>8</v>
      </c>
      <c r="K3" s="50" t="s">
        <v>9</v>
      </c>
      <c r="L3" s="50" t="s">
        <v>10</v>
      </c>
      <c r="M3" s="50" t="s">
        <v>14</v>
      </c>
      <c r="N3" s="51" t="s">
        <v>16</v>
      </c>
      <c r="P3" s="69">
        <v>21.75</v>
      </c>
      <c r="Q3" s="65">
        <v>50</v>
      </c>
      <c r="R3" s="65">
        <v>82.103200000000001</v>
      </c>
      <c r="S3" s="51"/>
      <c r="U3" s="48" t="s">
        <v>69</v>
      </c>
      <c r="V3" s="61">
        <f>133.332*EXP(20.386-5132/($V$2+273.15))</f>
        <v>2374.2721715276289</v>
      </c>
      <c r="W3" s="61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1"/>
    </row>
    <row r="4" spans="2:36" x14ac:dyDescent="0.35">
      <c r="B4" s="48" t="s">
        <v>39</v>
      </c>
      <c r="C4" s="49">
        <f>B28</f>
        <v>0.89875000000000005</v>
      </c>
      <c r="D4" s="50"/>
      <c r="E4" s="50"/>
      <c r="F4" s="50"/>
      <c r="G4" s="50"/>
      <c r="H4" s="50" t="s">
        <v>51</v>
      </c>
      <c r="I4" s="50">
        <f t="array" ref="I4:N4">LINEST($E$8:$E$29,$B$8:$B$29^{1,2,3,4,5})</f>
        <v>1.3054810430308099</v>
      </c>
      <c r="J4" s="50">
        <v>-2.8736252680484684</v>
      </c>
      <c r="K4" s="50">
        <v>1.9148370155353536</v>
      </c>
      <c r="L4" s="50">
        <v>-0.37759209054878046</v>
      </c>
      <c r="M4" s="50">
        <v>7.0794468815866289E-3</v>
      </c>
      <c r="N4" s="51">
        <v>2.7353989139303869E-2</v>
      </c>
      <c r="P4" s="69">
        <v>35.25</v>
      </c>
      <c r="Q4" s="65">
        <v>50</v>
      </c>
      <c r="R4" s="65">
        <v>75.078800000000001</v>
      </c>
      <c r="S4" s="51"/>
      <c r="U4" s="48" t="s">
        <v>73</v>
      </c>
      <c r="V4" s="50">
        <f>101325+$V$5*$V$7*$V$6</f>
        <v>105345.7265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</row>
    <row r="5" spans="2:36" x14ac:dyDescent="0.35">
      <c r="B5" s="48" t="s">
        <v>24</v>
      </c>
      <c r="C5" s="50">
        <f>LARGE(C8:C29,1)</f>
        <v>0.90239999999999998</v>
      </c>
      <c r="D5" s="50"/>
      <c r="E5" s="50"/>
      <c r="F5" s="50"/>
      <c r="G5" s="50"/>
      <c r="H5" s="50"/>
      <c r="I5" s="50" t="s">
        <v>7</v>
      </c>
      <c r="J5" s="50" t="s">
        <v>8</v>
      </c>
      <c r="K5" s="50" t="s">
        <v>9</v>
      </c>
      <c r="L5" s="50" t="s">
        <v>10</v>
      </c>
      <c r="M5" s="50" t="s">
        <v>14</v>
      </c>
      <c r="N5" s="51" t="s">
        <v>16</v>
      </c>
      <c r="P5" s="69">
        <v>48.75</v>
      </c>
      <c r="Q5" s="65">
        <v>50</v>
      </c>
      <c r="R5" s="65">
        <v>68.6006</v>
      </c>
      <c r="S5" s="51"/>
      <c r="U5" s="48" t="s">
        <v>72</v>
      </c>
      <c r="V5" s="50">
        <v>1025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9"/>
    </row>
    <row r="6" spans="2:36" x14ac:dyDescent="0.35">
      <c r="B6" s="48"/>
      <c r="C6" s="50"/>
      <c r="D6" s="50"/>
      <c r="E6" s="50"/>
      <c r="F6" s="50"/>
      <c r="G6" s="50"/>
      <c r="H6" s="50" t="s">
        <v>52</v>
      </c>
      <c r="I6" s="50">
        <f t="array" ref="I6:N6">LINEST($D$8:$D$29,$B$8:$B$29^{1,2,3,4,5})</f>
        <v>1.4041045995231194</v>
      </c>
      <c r="J6" s="50">
        <v>-2.7528167949556517</v>
      </c>
      <c r="K6" s="50">
        <v>1.4560220215763298</v>
      </c>
      <c r="L6" s="50">
        <v>-0.15571498891763935</v>
      </c>
      <c r="M6" s="50">
        <v>1.8189588792377778E-2</v>
      </c>
      <c r="N6" s="51">
        <v>3.2416965220862431E-2</v>
      </c>
      <c r="P6" s="69">
        <v>62.25</v>
      </c>
      <c r="Q6" s="65">
        <v>50</v>
      </c>
      <c r="R6" s="65">
        <v>62.751800000000003</v>
      </c>
      <c r="S6" s="51"/>
      <c r="U6" s="48" t="s">
        <v>70</v>
      </c>
      <c r="V6" s="50">
        <v>0.4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9"/>
    </row>
    <row r="7" spans="2:36" x14ac:dyDescent="0.35">
      <c r="B7" s="48" t="s">
        <v>0</v>
      </c>
      <c r="C7" s="50" t="s">
        <v>15</v>
      </c>
      <c r="D7" s="50" t="s">
        <v>50</v>
      </c>
      <c r="E7" s="50" t="s">
        <v>49</v>
      </c>
      <c r="F7" s="50"/>
      <c r="G7" s="50"/>
      <c r="H7" s="50"/>
      <c r="I7" s="50"/>
      <c r="J7" s="50"/>
      <c r="K7" s="50"/>
      <c r="L7" s="50"/>
      <c r="M7" s="50"/>
      <c r="N7" s="51"/>
      <c r="P7" s="69">
        <v>75.75</v>
      </c>
      <c r="Q7" s="65">
        <v>50</v>
      </c>
      <c r="R7" s="65">
        <v>57.548900000000003</v>
      </c>
      <c r="S7" s="51"/>
      <c r="U7" s="48" t="s">
        <v>71</v>
      </c>
      <c r="V7" s="50">
        <v>9.8066499999999994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x14ac:dyDescent="0.35">
      <c r="B8" s="52">
        <v>0</v>
      </c>
      <c r="C8" s="49">
        <v>0</v>
      </c>
      <c r="D8" s="49">
        <v>3.236E-2</v>
      </c>
      <c r="E8" s="49">
        <v>2.7550000000000002E-2</v>
      </c>
      <c r="F8" s="50"/>
      <c r="G8" s="50"/>
      <c r="H8" s="50"/>
      <c r="I8" s="50"/>
      <c r="J8" s="50"/>
      <c r="K8" s="50"/>
      <c r="L8" s="50"/>
      <c r="M8" s="50"/>
      <c r="N8" s="51"/>
      <c r="P8" s="69">
        <v>89.25</v>
      </c>
      <c r="Q8" s="65">
        <v>50</v>
      </c>
      <c r="R8" s="65">
        <v>52.962699999999998</v>
      </c>
      <c r="S8" s="51"/>
      <c r="U8" s="48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1"/>
    </row>
    <row r="9" spans="2:36" x14ac:dyDescent="0.35">
      <c r="B9" s="52">
        <v>4.4940000000000001E-2</v>
      </c>
      <c r="C9" s="49">
        <v>5.5199999999999999E-2</v>
      </c>
      <c r="D9" s="49">
        <v>3.2800000000000003E-2</v>
      </c>
      <c r="E9" s="49">
        <v>2.6679999999999999E-2</v>
      </c>
      <c r="F9" s="50"/>
      <c r="G9" s="50"/>
      <c r="H9" s="50"/>
      <c r="I9" s="50"/>
      <c r="J9" s="50"/>
      <c r="K9" s="50"/>
      <c r="L9" s="50"/>
      <c r="M9" s="50"/>
      <c r="N9" s="51"/>
      <c r="P9" s="69">
        <v>102.75</v>
      </c>
      <c r="Q9" s="65">
        <v>46.644999999999996</v>
      </c>
      <c r="R9" s="65">
        <v>48.938899999999997</v>
      </c>
      <c r="S9" s="51"/>
      <c r="U9" s="48"/>
      <c r="V9" s="50"/>
      <c r="W9" s="50"/>
      <c r="X9" s="50"/>
      <c r="Y9" s="50" t="s">
        <v>109</v>
      </c>
      <c r="Z9" s="50">
        <v>0.15</v>
      </c>
      <c r="AA9" s="50"/>
      <c r="AB9" s="50"/>
      <c r="AC9" s="50"/>
      <c r="AD9" s="50"/>
      <c r="AE9" s="50"/>
      <c r="AF9" s="50"/>
      <c r="AG9" s="50"/>
      <c r="AH9" s="50"/>
      <c r="AI9" s="50"/>
      <c r="AJ9" s="51"/>
    </row>
    <row r="10" spans="2:36" x14ac:dyDescent="0.35">
      <c r="B10" s="52">
        <v>8.9870000000000005E-2</v>
      </c>
      <c r="C10" s="49">
        <v>0.1168</v>
      </c>
      <c r="D10" s="49">
        <v>3.3689999999999998E-2</v>
      </c>
      <c r="E10" s="49">
        <v>2.5919999999999999E-2</v>
      </c>
      <c r="F10" s="49"/>
      <c r="G10" s="49"/>
      <c r="H10" s="50"/>
      <c r="I10" s="50"/>
      <c r="J10" s="49"/>
      <c r="K10" s="50"/>
      <c r="L10" s="50"/>
      <c r="M10" s="50"/>
      <c r="N10" s="51"/>
      <c r="P10" s="69">
        <v>116.25</v>
      </c>
      <c r="Q10" s="65">
        <v>40.661000000000001</v>
      </c>
      <c r="R10" s="65">
        <v>45.412999999999997</v>
      </c>
      <c r="S10" s="59"/>
      <c r="T10">
        <f>120*52/12</f>
        <v>520</v>
      </c>
      <c r="U10" s="48" t="s">
        <v>77</v>
      </c>
      <c r="V10" s="50" t="s">
        <v>78</v>
      </c>
      <c r="W10" s="50" t="s">
        <v>79</v>
      </c>
      <c r="X10" s="50" t="s">
        <v>80</v>
      </c>
      <c r="Y10" s="50" t="s">
        <v>76</v>
      </c>
      <c r="Z10" s="50" t="s">
        <v>86</v>
      </c>
      <c r="AA10" s="50" t="s">
        <v>87</v>
      </c>
      <c r="AB10" s="50" t="s">
        <v>76</v>
      </c>
      <c r="AC10" s="50"/>
      <c r="AD10" s="50"/>
      <c r="AE10" s="50"/>
      <c r="AF10" s="50"/>
      <c r="AG10" s="50"/>
      <c r="AH10" s="50"/>
      <c r="AI10" s="50"/>
      <c r="AJ10" s="51"/>
    </row>
    <row r="11" spans="2:36" x14ac:dyDescent="0.35">
      <c r="B11" s="52">
        <v>0.13481000000000001</v>
      </c>
      <c r="C11" s="49">
        <v>0.18629999999999999</v>
      </c>
      <c r="D11" s="49">
        <v>3.5110000000000002E-2</v>
      </c>
      <c r="E11" s="49">
        <v>2.5409999999999999E-2</v>
      </c>
      <c r="F11" s="49"/>
      <c r="G11" s="49"/>
      <c r="H11" s="50"/>
      <c r="I11" s="50"/>
      <c r="J11" s="49"/>
      <c r="K11" s="50"/>
      <c r="L11" s="50"/>
      <c r="M11" s="50"/>
      <c r="N11" s="51"/>
      <c r="P11" s="69">
        <v>129.75</v>
      </c>
      <c r="Q11" s="65">
        <v>32.002000000000002</v>
      </c>
      <c r="R11" s="65">
        <v>42.3202</v>
      </c>
      <c r="S11" s="51"/>
      <c r="T11">
        <v>530</v>
      </c>
      <c r="U11" s="48">
        <v>1</v>
      </c>
      <c r="V11" s="62">
        <f t="shared" ref="V11:V13" si="0">T11*PI()/30</f>
        <v>55.50147021341968</v>
      </c>
      <c r="W11" s="63">
        <f>V11*$Z$9</f>
        <v>8.3252205320129509</v>
      </c>
      <c r="X11" s="63">
        <f t="shared" ref="X11:X16" si="1">SQRT(W11^2+U11^2)</f>
        <v>8.3850639178631194</v>
      </c>
      <c r="Y11" s="63">
        <f t="shared" ref="Y11:Y16" si="2">($V$3-$V$4-$V$5*$V$6*$V$7)/(0.5*$V$5*X11^2)</f>
        <v>-2.9692407699937999</v>
      </c>
      <c r="Z11" s="63">
        <f>0.69375*$Z$9*V11</f>
        <v>5.7756217440839848</v>
      </c>
      <c r="AA11" s="63">
        <f t="shared" ref="AA11:AA16" si="3">SQRT(Z11^2+U11^2)</f>
        <v>5.8615532524012552</v>
      </c>
      <c r="AB11" s="63">
        <f t="shared" ref="AB11:AB16" si="4">($V$3-$V$4-$V$5*$V$6*$V$7)/(0.5*$V$5*AA11^2)</f>
        <v>-6.0762095129113485</v>
      </c>
      <c r="AC11" s="50"/>
      <c r="AD11" s="50"/>
      <c r="AE11" s="50"/>
      <c r="AF11" s="50"/>
      <c r="AG11" s="50"/>
      <c r="AH11" s="50"/>
      <c r="AI11" s="50"/>
      <c r="AJ11" s="51"/>
    </row>
    <row r="12" spans="2:36" x14ac:dyDescent="0.35">
      <c r="B12" s="52">
        <v>0.17974999999999999</v>
      </c>
      <c r="C12" s="49">
        <v>0.2636</v>
      </c>
      <c r="D12" s="49">
        <v>3.7019999999999997E-2</v>
      </c>
      <c r="E12" s="49">
        <v>2.5250000000000002E-2</v>
      </c>
      <c r="F12" s="49"/>
      <c r="G12" s="49"/>
      <c r="H12" s="50"/>
      <c r="I12" s="50"/>
      <c r="J12" s="49"/>
      <c r="K12" s="50"/>
      <c r="L12" s="50"/>
      <c r="M12" s="50"/>
      <c r="N12" s="51"/>
      <c r="P12" s="69">
        <v>143.25</v>
      </c>
      <c r="Q12" s="65">
        <v>18.577999999999999</v>
      </c>
      <c r="R12" s="65">
        <v>39.6004</v>
      </c>
      <c r="S12" s="51"/>
      <c r="T12">
        <v>530</v>
      </c>
      <c r="U12" s="48">
        <v>2</v>
      </c>
      <c r="V12" s="62">
        <f t="shared" si="0"/>
        <v>55.50147021341968</v>
      </c>
      <c r="W12" s="63">
        <f t="shared" ref="W12:W16" si="5">V12*$Z$9</f>
        <v>8.3252205320129509</v>
      </c>
      <c r="X12" s="63">
        <f t="shared" si="1"/>
        <v>8.5620848457983652</v>
      </c>
      <c r="Y12" s="63">
        <f t="shared" si="2"/>
        <v>-2.8477320025406856</v>
      </c>
      <c r="Z12" s="63">
        <f t="shared" ref="Z12:Z16" si="6">0.69375*$Z$9*V12</f>
        <v>5.7756217440839848</v>
      </c>
      <c r="AA12" s="63">
        <f t="shared" si="3"/>
        <v>6.1121032820736696</v>
      </c>
      <c r="AB12" s="63">
        <f t="shared" si="4"/>
        <v>-5.5882625419419325</v>
      </c>
      <c r="AC12" s="50"/>
      <c r="AD12" s="50"/>
      <c r="AE12" s="50"/>
      <c r="AF12" s="50"/>
      <c r="AG12" s="50"/>
      <c r="AH12" s="50"/>
      <c r="AI12" s="50"/>
      <c r="AJ12" s="51"/>
    </row>
    <row r="13" spans="2:36" x14ac:dyDescent="0.35">
      <c r="B13" s="52">
        <v>0.22469</v>
      </c>
      <c r="C13" s="49">
        <v>0.34649999999999997</v>
      </c>
      <c r="D13" s="49">
        <v>3.9350000000000003E-2</v>
      </c>
      <c r="E13" s="49">
        <v>2.5510000000000001E-2</v>
      </c>
      <c r="F13" s="49"/>
      <c r="G13" s="49"/>
      <c r="H13" s="50"/>
      <c r="I13" s="50"/>
      <c r="J13" s="49"/>
      <c r="K13" s="50"/>
      <c r="L13" s="50"/>
      <c r="M13" s="50"/>
      <c r="N13" s="51"/>
      <c r="P13" s="69">
        <v>150</v>
      </c>
      <c r="Q13" s="65">
        <v>10.078999999999999</v>
      </c>
      <c r="R13" s="65">
        <v>38.380400000000002</v>
      </c>
      <c r="S13" s="51"/>
      <c r="T13">
        <f>R19</f>
        <v>500</v>
      </c>
      <c r="U13" s="48">
        <v>3</v>
      </c>
      <c r="V13" s="62">
        <f t="shared" si="0"/>
        <v>52.359877559829883</v>
      </c>
      <c r="W13" s="63">
        <f t="shared" si="5"/>
        <v>7.8539816339744819</v>
      </c>
      <c r="X13" s="63">
        <f t="shared" si="1"/>
        <v>8.4074388196886964</v>
      </c>
      <c r="Y13" s="63">
        <f t="shared" si="2"/>
        <v>-2.9534575885213545</v>
      </c>
      <c r="Z13" s="63">
        <f t="shared" si="6"/>
        <v>5.4486997585697967</v>
      </c>
      <c r="AA13" s="63">
        <f t="shared" si="3"/>
        <v>6.2199942973477524</v>
      </c>
      <c r="AB13" s="63">
        <f t="shared" si="4"/>
        <v>-5.3960777309934347</v>
      </c>
      <c r="AC13" s="50"/>
      <c r="AD13" s="50"/>
      <c r="AE13" s="50"/>
      <c r="AF13" s="50"/>
      <c r="AG13" s="50"/>
      <c r="AH13" s="50"/>
      <c r="AI13" s="50"/>
      <c r="AJ13" s="51"/>
    </row>
    <row r="14" spans="2:36" ht="15" thickBot="1" x14ac:dyDescent="0.4">
      <c r="B14" s="52">
        <v>0.26962000000000003</v>
      </c>
      <c r="C14" s="49">
        <v>0.43149999999999999</v>
      </c>
      <c r="D14" s="49">
        <v>4.2000000000000003E-2</v>
      </c>
      <c r="E14" s="49">
        <v>2.6239999999999999E-2</v>
      </c>
      <c r="F14" s="49"/>
      <c r="G14" s="49"/>
      <c r="H14" s="50"/>
      <c r="I14" s="50"/>
      <c r="J14" s="49"/>
      <c r="K14" s="50"/>
      <c r="L14" s="50"/>
      <c r="M14" s="50"/>
      <c r="N14" s="51"/>
      <c r="P14" s="60"/>
      <c r="Q14" s="55"/>
      <c r="R14" s="55"/>
      <c r="S14" s="56"/>
      <c r="T14">
        <v>530</v>
      </c>
      <c r="U14" s="48">
        <v>4</v>
      </c>
      <c r="V14" s="62">
        <f>T14*PI()/30</f>
        <v>55.50147021341968</v>
      </c>
      <c r="W14" s="63">
        <f t="shared" si="5"/>
        <v>8.3252205320129509</v>
      </c>
      <c r="X14" s="63">
        <f t="shared" si="1"/>
        <v>9.2363032056472676</v>
      </c>
      <c r="Y14" s="63">
        <f t="shared" si="2"/>
        <v>-2.4471568569281055</v>
      </c>
      <c r="Z14" s="63">
        <f t="shared" si="6"/>
        <v>5.7756217440839848</v>
      </c>
      <c r="AA14" s="63">
        <f t="shared" si="3"/>
        <v>7.0255111223836044</v>
      </c>
      <c r="AB14" s="63">
        <f t="shared" si="4"/>
        <v>-4.2296294255868805</v>
      </c>
      <c r="AC14" s="50"/>
      <c r="AD14" s="50"/>
      <c r="AE14" s="50"/>
      <c r="AF14" s="50"/>
      <c r="AG14" s="50"/>
      <c r="AH14" s="50"/>
      <c r="AI14" s="50"/>
      <c r="AJ14" s="51"/>
    </row>
    <row r="15" spans="2:36" x14ac:dyDescent="0.35">
      <c r="B15" s="52">
        <v>0.31456000000000001</v>
      </c>
      <c r="C15" s="49">
        <v>0.5141</v>
      </c>
      <c r="D15" s="49">
        <v>4.4859999999999997E-2</v>
      </c>
      <c r="E15" s="49">
        <v>2.7449999999999999E-2</v>
      </c>
      <c r="F15" s="49"/>
      <c r="G15" s="49"/>
      <c r="H15" s="50"/>
      <c r="I15" s="50"/>
      <c r="J15" s="49"/>
      <c r="K15" s="50"/>
      <c r="L15" s="50"/>
      <c r="M15" s="50"/>
      <c r="N15" s="51"/>
      <c r="T15">
        <v>530</v>
      </c>
      <c r="U15" s="48">
        <v>5</v>
      </c>
      <c r="V15" s="62">
        <f t="shared" ref="V15:V16" si="7">T15*PI()/30</f>
        <v>55.50147021341968</v>
      </c>
      <c r="W15" s="63">
        <f t="shared" si="5"/>
        <v>8.3252205320129509</v>
      </c>
      <c r="X15" s="63">
        <f t="shared" si="1"/>
        <v>9.7112973853471303</v>
      </c>
      <c r="Y15" s="63">
        <f t="shared" si="2"/>
        <v>-2.2136230226746982</v>
      </c>
      <c r="Z15" s="63">
        <f t="shared" si="6"/>
        <v>5.7756217440839848</v>
      </c>
      <c r="AA15" s="63">
        <f t="shared" si="3"/>
        <v>7.6392281371049346</v>
      </c>
      <c r="AB15" s="63">
        <f t="shared" si="4"/>
        <v>-3.5773316938304092</v>
      </c>
      <c r="AC15" s="50"/>
      <c r="AD15" s="50"/>
      <c r="AE15" s="50"/>
      <c r="AF15" s="64"/>
      <c r="AG15" s="64"/>
      <c r="AH15" s="50"/>
      <c r="AI15" s="50"/>
      <c r="AJ15" s="51"/>
    </row>
    <row r="16" spans="2:36" x14ac:dyDescent="0.35">
      <c r="B16" s="52">
        <v>0.35949999999999999</v>
      </c>
      <c r="C16" s="49">
        <v>0.59019999999999995</v>
      </c>
      <c r="D16" s="49">
        <v>4.786E-2</v>
      </c>
      <c r="E16" s="49">
        <v>2.9149999999999999E-2</v>
      </c>
      <c r="F16" s="49"/>
      <c r="G16" s="49"/>
      <c r="H16" s="50"/>
      <c r="I16" s="50"/>
      <c r="J16" s="49"/>
      <c r="K16" s="50"/>
      <c r="L16" s="50"/>
      <c r="M16" s="50"/>
      <c r="N16" s="51"/>
      <c r="R16" t="s">
        <v>131</v>
      </c>
      <c r="T16">
        <v>530</v>
      </c>
      <c r="U16" s="48">
        <v>6</v>
      </c>
      <c r="V16" s="62">
        <f t="shared" si="7"/>
        <v>55.50147021341968</v>
      </c>
      <c r="W16" s="63">
        <f t="shared" si="5"/>
        <v>8.3252205320129509</v>
      </c>
      <c r="X16" s="63">
        <f t="shared" si="1"/>
        <v>10.262031811812415</v>
      </c>
      <c r="Y16" s="63">
        <f t="shared" si="2"/>
        <v>-1.9824007662863925</v>
      </c>
      <c r="Z16" s="63">
        <f t="shared" si="6"/>
        <v>5.7756217440839848</v>
      </c>
      <c r="AA16" s="63">
        <f t="shared" si="3"/>
        <v>8.3281334361749835</v>
      </c>
      <c r="AB16" s="63">
        <f t="shared" si="4"/>
        <v>-3.0099745266931177</v>
      </c>
      <c r="AC16" s="50"/>
      <c r="AD16" s="50"/>
      <c r="AE16" s="50"/>
      <c r="AF16" s="64"/>
      <c r="AG16" s="64"/>
      <c r="AH16" s="50"/>
      <c r="AI16" s="50"/>
      <c r="AJ16" s="51"/>
    </row>
    <row r="17" spans="2:36" x14ac:dyDescent="0.35">
      <c r="B17" s="52">
        <v>0.40444000000000002</v>
      </c>
      <c r="C17" s="49">
        <v>0.65710000000000002</v>
      </c>
      <c r="D17" s="49">
        <v>5.0900000000000001E-2</v>
      </c>
      <c r="E17" s="49">
        <v>3.1329999999999997E-2</v>
      </c>
      <c r="F17" s="49"/>
      <c r="G17" s="49"/>
      <c r="H17" s="50"/>
      <c r="I17" s="50"/>
      <c r="J17" s="49"/>
      <c r="K17" s="50"/>
      <c r="L17" s="50"/>
      <c r="M17" s="50"/>
      <c r="N17" s="51"/>
      <c r="R17">
        <v>50</v>
      </c>
      <c r="U17" s="48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1"/>
    </row>
    <row r="18" spans="2:36" x14ac:dyDescent="0.35">
      <c r="B18" s="52">
        <v>0.44936999999999999</v>
      </c>
      <c r="C18" s="49">
        <v>0.71299999999999997</v>
      </c>
      <c r="D18" s="49">
        <v>5.3929999999999999E-2</v>
      </c>
      <c r="E18" s="49">
        <v>3.3989999999999999E-2</v>
      </c>
      <c r="F18" s="49"/>
      <c r="G18" s="49"/>
      <c r="H18" s="50"/>
      <c r="I18" s="50"/>
      <c r="J18" s="49"/>
      <c r="K18" s="50"/>
      <c r="L18" s="50"/>
      <c r="M18" s="50"/>
      <c r="N18" s="51"/>
      <c r="R18">
        <v>12</v>
      </c>
      <c r="U18" s="48"/>
      <c r="V18" s="50"/>
      <c r="W18" s="50"/>
      <c r="X18" s="50"/>
      <c r="Y18" s="50"/>
      <c r="Z18" s="50"/>
      <c r="AA18" s="50"/>
      <c r="AB18" s="50">
        <f>0.7*Z9</f>
        <v>0.105</v>
      </c>
      <c r="AC18" s="50"/>
      <c r="AD18" s="50"/>
      <c r="AE18" s="50"/>
      <c r="AF18" s="50"/>
      <c r="AI18" s="50"/>
      <c r="AJ18" s="51"/>
    </row>
    <row r="19" spans="2:36" x14ac:dyDescent="0.35">
      <c r="B19" s="52">
        <v>0.49431000000000003</v>
      </c>
      <c r="C19" s="49">
        <v>0.75760000000000005</v>
      </c>
      <c r="D19" s="49">
        <v>5.6869999999999997E-2</v>
      </c>
      <c r="E19" s="49">
        <v>3.7100000000000001E-2</v>
      </c>
      <c r="F19" s="49"/>
      <c r="G19" s="49"/>
      <c r="H19" s="50"/>
      <c r="I19" s="50"/>
      <c r="J19" s="49"/>
      <c r="K19" s="50"/>
      <c r="L19" s="50"/>
      <c r="M19" s="50"/>
      <c r="N19" s="51"/>
      <c r="R19">
        <f>120*R17/R18</f>
        <v>500</v>
      </c>
      <c r="U19" s="48" t="s">
        <v>81</v>
      </c>
      <c r="V19" s="50" t="s">
        <v>63</v>
      </c>
      <c r="W19" s="50"/>
      <c r="X19" s="50"/>
      <c r="Y19" s="50"/>
      <c r="Z19" s="50"/>
      <c r="AA19" s="50"/>
      <c r="AB19" s="50" t="s">
        <v>88</v>
      </c>
      <c r="AC19" s="50"/>
      <c r="AD19" s="50"/>
      <c r="AE19" s="50"/>
      <c r="AF19" s="50"/>
      <c r="AG19" s="50"/>
      <c r="AH19" s="50"/>
      <c r="AI19" s="50"/>
      <c r="AJ19" s="51"/>
    </row>
    <row r="20" spans="2:36" x14ac:dyDescent="0.35">
      <c r="B20" s="52">
        <v>0.53925000000000001</v>
      </c>
      <c r="C20" s="49">
        <v>0.79339999999999999</v>
      </c>
      <c r="D20" s="49">
        <v>5.9720000000000002E-2</v>
      </c>
      <c r="E20" s="49">
        <v>4.0590000000000001E-2</v>
      </c>
      <c r="F20" s="49"/>
      <c r="G20" s="49"/>
      <c r="H20" s="50"/>
      <c r="I20" s="50"/>
      <c r="J20" s="49"/>
      <c r="K20" s="50"/>
      <c r="L20" s="50"/>
      <c r="M20" s="50"/>
      <c r="N20" s="51"/>
      <c r="T20" t="s">
        <v>6</v>
      </c>
      <c r="U20" s="48" t="s">
        <v>77</v>
      </c>
      <c r="V20" s="50" t="s">
        <v>64</v>
      </c>
      <c r="W20" s="50" t="s">
        <v>95</v>
      </c>
      <c r="X20" s="50"/>
      <c r="Y20" s="50" t="s">
        <v>75</v>
      </c>
      <c r="Z20" s="50" t="s">
        <v>100</v>
      </c>
      <c r="AA20" s="50"/>
      <c r="AB20" s="50" t="s">
        <v>64</v>
      </c>
      <c r="AC20" s="50" t="s">
        <v>95</v>
      </c>
      <c r="AD20" s="50"/>
      <c r="AE20" s="50" t="s">
        <v>75</v>
      </c>
      <c r="AF20" s="50" t="s">
        <v>100</v>
      </c>
      <c r="AG20" s="50"/>
      <c r="AH20" s="50"/>
      <c r="AI20" s="50"/>
      <c r="AJ20" s="51"/>
    </row>
    <row r="21" spans="2:36" x14ac:dyDescent="0.35">
      <c r="B21" s="52">
        <v>0.58418999999999999</v>
      </c>
      <c r="C21" s="49">
        <v>0.84570000000000001</v>
      </c>
      <c r="D21" s="49">
        <v>5.7729999999999997E-2</v>
      </c>
      <c r="E21" s="49">
        <v>3.9879999999999999E-2</v>
      </c>
      <c r="F21" s="49"/>
      <c r="G21" s="49"/>
      <c r="H21" s="50"/>
      <c r="I21" s="50"/>
      <c r="J21" s="49"/>
      <c r="K21" s="50"/>
      <c r="L21" s="50"/>
      <c r="M21" s="50"/>
      <c r="N21" s="51"/>
      <c r="R21">
        <f>85*R17/R18</f>
        <v>354.16666666666669</v>
      </c>
      <c r="U21" s="48">
        <v>1</v>
      </c>
      <c r="V21" s="50"/>
      <c r="W21" s="50"/>
      <c r="X21" s="50"/>
      <c r="Y21" s="66"/>
      <c r="Z21" s="50"/>
      <c r="AA21" s="50"/>
      <c r="AB21" s="50">
        <v>274643</v>
      </c>
      <c r="AC21" s="50">
        <v>1.0326</v>
      </c>
      <c r="AD21" s="50"/>
      <c r="AE21" s="50">
        <v>-2.5</v>
      </c>
      <c r="AF21" s="50">
        <f t="shared" ref="AF21:AF24" si="8">AB11/AE21</f>
        <v>2.4304838051645392</v>
      </c>
      <c r="AG21" s="50"/>
      <c r="AH21" s="50"/>
      <c r="AI21" s="50"/>
      <c r="AJ21" s="51"/>
    </row>
    <row r="22" spans="2:36" x14ac:dyDescent="0.35">
      <c r="B22" s="52">
        <v>0.62912000000000001</v>
      </c>
      <c r="C22" s="49">
        <v>0.86570000000000003</v>
      </c>
      <c r="D22" s="49">
        <v>5.1389999999999998E-2</v>
      </c>
      <c r="E22" s="49">
        <v>3.7350000000000001E-2</v>
      </c>
      <c r="F22" s="49"/>
      <c r="G22" s="49"/>
      <c r="H22" s="50"/>
      <c r="I22" s="50"/>
      <c r="J22" s="49"/>
      <c r="K22" s="50"/>
      <c r="L22" s="50"/>
      <c r="M22" s="50"/>
      <c r="N22" s="51"/>
      <c r="U22" s="48">
        <v>2</v>
      </c>
      <c r="V22" s="50"/>
      <c r="W22" s="50"/>
      <c r="X22" s="50"/>
      <c r="Y22" s="66"/>
      <c r="Z22" s="50"/>
      <c r="AA22" s="50"/>
      <c r="AB22" s="50">
        <v>286743</v>
      </c>
      <c r="AC22" s="50">
        <v>1.0925</v>
      </c>
      <c r="AD22" s="50"/>
      <c r="AE22" s="50">
        <v>-3</v>
      </c>
      <c r="AF22" s="50">
        <f t="shared" si="8"/>
        <v>1.8627541806473109</v>
      </c>
      <c r="AG22" s="50"/>
      <c r="AH22" s="50"/>
      <c r="AI22" s="50"/>
      <c r="AJ22" s="51"/>
    </row>
    <row r="23" spans="2:36" x14ac:dyDescent="0.35">
      <c r="B23" s="52">
        <v>0.67405999999999999</v>
      </c>
      <c r="C23" s="49">
        <v>0.88229999999999997</v>
      </c>
      <c r="D23" s="49">
        <v>4.4850000000000001E-2</v>
      </c>
      <c r="E23" s="49">
        <v>3.4270000000000002E-2</v>
      </c>
      <c r="F23" s="49"/>
      <c r="G23" s="49"/>
      <c r="H23" s="50"/>
      <c r="I23" s="50"/>
      <c r="J23" s="49"/>
      <c r="K23" s="50"/>
      <c r="L23" s="50"/>
      <c r="M23" s="50"/>
      <c r="N23" s="51"/>
      <c r="U23" s="48">
        <v>3</v>
      </c>
      <c r="V23" s="50">
        <v>99920</v>
      </c>
      <c r="W23" s="75">
        <v>1.1344000000000001</v>
      </c>
      <c r="X23" s="50"/>
      <c r="Y23" s="66">
        <v>-2.8153999999999999</v>
      </c>
      <c r="Z23" s="50">
        <f t="shared" ref="Z23" si="9">Y13/Y23</f>
        <v>1.049036580422446</v>
      </c>
      <c r="AA23" s="50"/>
      <c r="AB23" s="50">
        <v>300959</v>
      </c>
      <c r="AC23" s="50">
        <v>1.1328</v>
      </c>
      <c r="AD23" s="50"/>
      <c r="AE23" s="66">
        <v>-3</v>
      </c>
      <c r="AF23" s="50">
        <f t="shared" si="8"/>
        <v>1.7986925769978115</v>
      </c>
      <c r="AG23" s="50"/>
      <c r="AH23" s="50"/>
      <c r="AI23" s="50"/>
      <c r="AJ23" s="51"/>
    </row>
    <row r="24" spans="2:36" x14ac:dyDescent="0.35">
      <c r="B24" s="52">
        <v>0.71899999999999997</v>
      </c>
      <c r="C24" s="49">
        <v>0.89500000000000002</v>
      </c>
      <c r="D24" s="49">
        <v>3.8120000000000001E-2</v>
      </c>
      <c r="E24" s="49">
        <v>3.0630000000000001E-2</v>
      </c>
      <c r="F24" s="49"/>
      <c r="G24" s="49"/>
      <c r="H24" s="50"/>
      <c r="I24" s="50"/>
      <c r="J24" s="49"/>
      <c r="K24" s="50"/>
      <c r="L24" s="50"/>
      <c r="M24" s="50"/>
      <c r="N24" s="51"/>
      <c r="U24" s="48">
        <v>4</v>
      </c>
      <c r="V24" s="50"/>
      <c r="W24" s="50"/>
      <c r="X24" s="50"/>
      <c r="Y24" s="66"/>
      <c r="Z24" s="50"/>
      <c r="AA24" s="50"/>
      <c r="AB24" s="50">
        <v>312040</v>
      </c>
      <c r="AC24" s="50">
        <v>1.149</v>
      </c>
      <c r="AD24" s="50"/>
      <c r="AE24" s="66">
        <v>-3</v>
      </c>
      <c r="AF24" s="50">
        <f t="shared" si="8"/>
        <v>1.4098764751956268</v>
      </c>
      <c r="AG24" s="50"/>
      <c r="AH24" s="50"/>
      <c r="AI24" s="50"/>
      <c r="AJ24" s="51"/>
    </row>
    <row r="25" spans="2:36" x14ac:dyDescent="0.35">
      <c r="B25" s="52">
        <v>0.76393999999999995</v>
      </c>
      <c r="C25" s="49">
        <v>0.90239999999999998</v>
      </c>
      <c r="D25" s="49">
        <v>3.1189999999999999E-2</v>
      </c>
      <c r="E25" s="49">
        <v>2.64E-2</v>
      </c>
      <c r="F25" s="49"/>
      <c r="G25" s="49"/>
      <c r="H25" s="50"/>
      <c r="I25" s="50"/>
      <c r="J25" s="49"/>
      <c r="K25" s="50"/>
      <c r="L25" s="50"/>
      <c r="M25" s="50"/>
      <c r="N25" s="51"/>
      <c r="U25" s="48">
        <v>5</v>
      </c>
      <c r="V25" s="50"/>
      <c r="W25" s="50"/>
      <c r="X25" s="50"/>
      <c r="Y25" s="50"/>
      <c r="Z25" s="50"/>
      <c r="AA25" s="50"/>
      <c r="AB25" s="50">
        <v>365970</v>
      </c>
      <c r="AC25" s="50">
        <v>0.9456</v>
      </c>
      <c r="AD25" s="50"/>
      <c r="AE25" s="50">
        <v>-1.9</v>
      </c>
      <c r="AF25" s="50">
        <f t="shared" ref="AF25" si="10">AB15/AE25</f>
        <v>1.8828061546475838</v>
      </c>
      <c r="AG25" s="50"/>
      <c r="AH25" s="50"/>
      <c r="AI25" s="50"/>
      <c r="AJ25" s="51"/>
    </row>
    <row r="26" spans="2:36" ht="15" thickBot="1" x14ac:dyDescent="0.4">
      <c r="B26" s="52">
        <v>0.80886999999999998</v>
      </c>
      <c r="C26" s="49">
        <v>0.89980000000000004</v>
      </c>
      <c r="D26" s="49">
        <v>2.402E-2</v>
      </c>
      <c r="E26" s="49">
        <v>2.1590000000000002E-2</v>
      </c>
      <c r="F26" s="49"/>
      <c r="G26" s="49"/>
      <c r="H26" s="50"/>
      <c r="I26" s="50"/>
      <c r="J26" s="50"/>
      <c r="K26" s="50"/>
      <c r="L26" s="50"/>
      <c r="M26" s="50"/>
      <c r="N26" s="51"/>
      <c r="U26" s="60">
        <v>6</v>
      </c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6"/>
    </row>
    <row r="27" spans="2:36" x14ac:dyDescent="0.35">
      <c r="B27" s="52">
        <v>0.85380999999999996</v>
      </c>
      <c r="C27" s="49">
        <v>0.87590000000000001</v>
      </c>
      <c r="D27" s="49">
        <v>1.66E-2</v>
      </c>
      <c r="E27" s="49">
        <v>1.618E-2</v>
      </c>
      <c r="F27" s="49"/>
      <c r="G27" s="49"/>
      <c r="H27" s="50"/>
      <c r="I27" s="50"/>
      <c r="J27" s="50"/>
      <c r="K27" s="50"/>
      <c r="L27" s="50"/>
      <c r="M27" s="50"/>
      <c r="N27" s="51"/>
    </row>
    <row r="28" spans="2:36" x14ac:dyDescent="0.35">
      <c r="B28" s="52">
        <v>0.89875000000000005</v>
      </c>
      <c r="C28" s="49">
        <v>0.79039999999999999</v>
      </c>
      <c r="D28" s="49">
        <v>8.9339999999999992E-3</v>
      </c>
      <c r="E28" s="49">
        <v>1.0160000000000001E-2</v>
      </c>
      <c r="F28" s="49"/>
      <c r="G28" s="49"/>
      <c r="H28" s="50"/>
      <c r="I28" s="50"/>
      <c r="J28" s="50"/>
      <c r="K28" s="50"/>
      <c r="L28" s="50"/>
      <c r="M28" s="50"/>
      <c r="N28" s="51"/>
    </row>
    <row r="29" spans="2:36" ht="15" thickBot="1" x14ac:dyDescent="0.4">
      <c r="B29" s="53">
        <v>0.94369000000000003</v>
      </c>
      <c r="C29" s="54">
        <v>0.1459</v>
      </c>
      <c r="D29" s="54">
        <v>6.6419999999999999E-4</v>
      </c>
      <c r="E29" s="54">
        <v>4.2960000000000003E-3</v>
      </c>
      <c r="F29" s="54"/>
      <c r="G29" s="54"/>
      <c r="H29" s="55"/>
      <c r="I29" s="55"/>
      <c r="J29" s="55"/>
      <c r="K29" s="55"/>
      <c r="L29" s="55"/>
      <c r="M29" s="55"/>
      <c r="N29" s="56"/>
    </row>
    <row r="30" spans="2:36" ht="15" thickBot="1" x14ac:dyDescent="0.4">
      <c r="F30" s="1"/>
      <c r="G30" s="1"/>
    </row>
    <row r="31" spans="2:36" x14ac:dyDescent="0.35">
      <c r="B31" s="45"/>
      <c r="C31" s="46">
        <v>1</v>
      </c>
      <c r="D31" s="46">
        <v>2</v>
      </c>
      <c r="E31" s="46">
        <v>3</v>
      </c>
      <c r="F31" s="46">
        <v>4</v>
      </c>
      <c r="G31" s="46">
        <v>5</v>
      </c>
      <c r="H31" s="46">
        <v>6</v>
      </c>
      <c r="I31" s="46"/>
      <c r="J31" s="46"/>
      <c r="K31" s="46"/>
      <c r="L31" s="46"/>
      <c r="M31" s="46"/>
      <c r="N31" s="46"/>
      <c r="O31" s="46"/>
      <c r="P31" s="46"/>
      <c r="Q31" s="47"/>
    </row>
    <row r="32" spans="2:36" x14ac:dyDescent="0.35">
      <c r="B32" s="48" t="s">
        <v>62</v>
      </c>
      <c r="C32" s="50" t="s">
        <v>64</v>
      </c>
      <c r="D32" s="50" t="s">
        <v>65</v>
      </c>
      <c r="E32" s="50" t="s">
        <v>64</v>
      </c>
      <c r="F32" s="50" t="s">
        <v>66</v>
      </c>
      <c r="G32" s="50" t="s">
        <v>64</v>
      </c>
      <c r="H32" s="50" t="s">
        <v>64</v>
      </c>
      <c r="I32" s="50"/>
      <c r="J32" s="50"/>
      <c r="K32" s="50"/>
      <c r="L32" s="50"/>
      <c r="M32" s="50"/>
      <c r="N32" s="50"/>
      <c r="O32" s="50"/>
      <c r="P32" s="50"/>
      <c r="Q32" s="51"/>
    </row>
    <row r="33" spans="2:17" x14ac:dyDescent="0.35">
      <c r="B33" s="48">
        <v>3.7100000000000001E-2</v>
      </c>
      <c r="C33" s="50">
        <v>19940</v>
      </c>
      <c r="D33" s="50">
        <v>27915</v>
      </c>
      <c r="E33" s="50">
        <v>37619</v>
      </c>
      <c r="F33" s="50">
        <v>48020</v>
      </c>
      <c r="G33" s="50">
        <v>59317</v>
      </c>
      <c r="H33" s="50">
        <v>70660</v>
      </c>
      <c r="I33" s="50"/>
      <c r="J33" s="50"/>
      <c r="K33" s="50"/>
      <c r="L33" s="50"/>
      <c r="M33" s="50"/>
      <c r="N33" s="50"/>
      <c r="O33" s="50"/>
      <c r="P33" s="50"/>
      <c r="Q33" s="51"/>
    </row>
    <row r="34" spans="2:17" x14ac:dyDescent="0.35">
      <c r="B34" s="48">
        <v>4.3799999999999999E-2</v>
      </c>
      <c r="C34" s="50">
        <v>25545</v>
      </c>
      <c r="D34" s="50">
        <v>33878</v>
      </c>
      <c r="E34" s="50">
        <v>44415</v>
      </c>
      <c r="F34" s="50">
        <v>55931</v>
      </c>
      <c r="G34" s="50">
        <v>68814</v>
      </c>
      <c r="H34" s="50">
        <v>81767</v>
      </c>
      <c r="I34" s="50"/>
      <c r="J34" s="50"/>
      <c r="K34" s="50"/>
      <c r="L34" s="50"/>
      <c r="M34" s="50"/>
      <c r="N34" s="50"/>
      <c r="O34" s="50"/>
      <c r="P34" s="50"/>
      <c r="Q34" s="51"/>
    </row>
    <row r="35" spans="2:17" x14ac:dyDescent="0.35">
      <c r="B35" s="48">
        <v>5.04E-2</v>
      </c>
      <c r="C35" s="50">
        <v>31606</v>
      </c>
      <c r="D35" s="50">
        <v>40106</v>
      </c>
      <c r="E35" s="50">
        <v>51222</v>
      </c>
      <c r="F35" s="50">
        <v>63607</v>
      </c>
      <c r="G35" s="50">
        <v>77927</v>
      </c>
      <c r="H35" s="50">
        <v>92344</v>
      </c>
      <c r="I35" s="50"/>
      <c r="J35" s="50"/>
      <c r="K35" s="50"/>
      <c r="L35" s="50"/>
      <c r="M35" s="50"/>
      <c r="N35" s="50"/>
      <c r="O35" s="50"/>
      <c r="P35" s="50"/>
      <c r="Q35" s="51"/>
    </row>
    <row r="36" spans="2:17" x14ac:dyDescent="0.35">
      <c r="B36" s="48">
        <v>5.7099999999999998E-2</v>
      </c>
      <c r="C36" s="50">
        <v>38001</v>
      </c>
      <c r="D36" s="50">
        <v>46524</v>
      </c>
      <c r="E36" s="50">
        <v>57997</v>
      </c>
      <c r="F36" s="50">
        <v>71021</v>
      </c>
      <c r="G36" s="50">
        <v>86627</v>
      </c>
      <c r="H36" s="50">
        <v>102359</v>
      </c>
      <c r="I36" s="50"/>
      <c r="J36" s="50"/>
      <c r="K36" s="50"/>
      <c r="L36" s="50"/>
      <c r="M36" s="50"/>
      <c r="N36" s="50"/>
      <c r="O36" s="50"/>
      <c r="P36" s="50"/>
      <c r="Q36" s="51"/>
    </row>
    <row r="37" spans="2:17" x14ac:dyDescent="0.35">
      <c r="B37" s="48">
        <v>6.3700000000000007E-2</v>
      </c>
      <c r="C37" s="50">
        <v>44541</v>
      </c>
      <c r="D37" s="50">
        <v>52967</v>
      </c>
      <c r="E37" s="50">
        <v>64594</v>
      </c>
      <c r="F37" s="50">
        <v>78023</v>
      </c>
      <c r="G37" s="50">
        <v>94743</v>
      </c>
      <c r="H37" s="50">
        <v>111620</v>
      </c>
      <c r="I37" s="50"/>
      <c r="J37" s="50"/>
      <c r="K37" s="50"/>
      <c r="L37" s="50"/>
      <c r="M37" s="50"/>
      <c r="N37" s="50"/>
      <c r="O37" s="50"/>
      <c r="P37" s="50"/>
      <c r="Q37" s="51"/>
    </row>
    <row r="38" spans="2:17" x14ac:dyDescent="0.35">
      <c r="B38" s="48">
        <v>7.0400000000000004E-2</v>
      </c>
      <c r="C38" s="50">
        <v>50989</v>
      </c>
      <c r="D38" s="50">
        <v>59211</v>
      </c>
      <c r="E38" s="50">
        <v>70798</v>
      </c>
      <c r="F38" s="50">
        <v>84400</v>
      </c>
      <c r="G38" s="50">
        <v>102031</v>
      </c>
      <c r="H38" s="50">
        <v>119847</v>
      </c>
      <c r="I38" s="50"/>
      <c r="J38" s="50"/>
      <c r="K38" s="50"/>
      <c r="L38" s="50"/>
      <c r="M38" s="50"/>
      <c r="N38" s="50"/>
      <c r="O38" s="50"/>
      <c r="P38" s="50"/>
      <c r="Q38" s="51"/>
    </row>
    <row r="39" spans="2:17" x14ac:dyDescent="0.35">
      <c r="B39" s="48">
        <v>7.6999999999999999E-2</v>
      </c>
      <c r="C39" s="50">
        <v>57132</v>
      </c>
      <c r="D39" s="50">
        <v>65063</v>
      </c>
      <c r="E39" s="50">
        <v>76441</v>
      </c>
      <c r="F39" s="50">
        <v>89997</v>
      </c>
      <c r="G39" s="50">
        <v>108322</v>
      </c>
      <c r="H39" s="50">
        <v>126858</v>
      </c>
      <c r="I39" s="50"/>
      <c r="J39" s="50"/>
      <c r="K39" s="50"/>
      <c r="L39" s="50"/>
      <c r="M39" s="50"/>
      <c r="N39" s="50"/>
      <c r="O39" s="50"/>
      <c r="P39" s="50"/>
      <c r="Q39" s="51"/>
    </row>
    <row r="40" spans="2:17" x14ac:dyDescent="0.35">
      <c r="B40" s="48">
        <v>8.3699999999999997E-2</v>
      </c>
      <c r="C40" s="50">
        <v>62876</v>
      </c>
      <c r="D40" s="50">
        <v>70457</v>
      </c>
      <c r="E40" s="50">
        <v>81500</v>
      </c>
      <c r="F40" s="50">
        <v>94836</v>
      </c>
      <c r="G40" s="50">
        <v>113663</v>
      </c>
      <c r="H40" s="50">
        <v>132724</v>
      </c>
      <c r="I40" s="50"/>
      <c r="J40" s="50"/>
      <c r="K40" s="50"/>
      <c r="L40" s="50"/>
      <c r="M40" s="50"/>
      <c r="N40" s="50"/>
      <c r="O40" s="50"/>
      <c r="P40" s="50"/>
      <c r="Q40" s="51"/>
    </row>
    <row r="41" spans="2:17" x14ac:dyDescent="0.35">
      <c r="B41" s="48">
        <v>9.0300000000000005E-2</v>
      </c>
      <c r="C41" s="50">
        <v>68166</v>
      </c>
      <c r="D41" s="50">
        <v>75362</v>
      </c>
      <c r="E41" s="50">
        <v>85983</v>
      </c>
      <c r="F41" s="50">
        <v>98966</v>
      </c>
      <c r="G41" s="50">
        <v>118130</v>
      </c>
      <c r="H41" s="50">
        <v>137547</v>
      </c>
      <c r="I41" s="50"/>
      <c r="J41" s="50"/>
      <c r="K41" s="50"/>
      <c r="L41" s="50"/>
      <c r="M41" s="50"/>
      <c r="N41" s="50"/>
      <c r="O41" s="50"/>
      <c r="P41" s="50"/>
      <c r="Q41" s="51"/>
    </row>
    <row r="42" spans="2:17" x14ac:dyDescent="0.35">
      <c r="B42" s="48">
        <v>9.7000000000000003E-2</v>
      </c>
      <c r="C42" s="50">
        <v>72939</v>
      </c>
      <c r="D42" s="50">
        <v>79732</v>
      </c>
      <c r="E42" s="50">
        <v>89869</v>
      </c>
      <c r="F42" s="50">
        <v>102399</v>
      </c>
      <c r="G42" s="50">
        <v>121753</v>
      </c>
      <c r="H42" s="50">
        <v>141374</v>
      </c>
      <c r="I42" s="50"/>
      <c r="J42" s="50"/>
      <c r="K42" s="50"/>
      <c r="L42" s="50"/>
      <c r="M42" s="50"/>
      <c r="N42" s="50"/>
      <c r="O42" s="50"/>
      <c r="P42" s="50"/>
      <c r="Q42" s="51"/>
    </row>
    <row r="43" spans="2:17" x14ac:dyDescent="0.35">
      <c r="B43" s="48">
        <v>0.1036</v>
      </c>
      <c r="C43" s="50">
        <v>77129</v>
      </c>
      <c r="D43" s="50">
        <v>83508</v>
      </c>
      <c r="E43" s="50">
        <v>93118</v>
      </c>
      <c r="F43" s="50">
        <v>105117</v>
      </c>
      <c r="G43" s="50">
        <v>124526</v>
      </c>
      <c r="H43" s="50">
        <v>144211</v>
      </c>
      <c r="I43" s="50"/>
      <c r="J43" s="50"/>
      <c r="K43" s="50"/>
      <c r="L43" s="50"/>
      <c r="M43" s="50"/>
      <c r="N43" s="50"/>
      <c r="O43" s="50"/>
      <c r="P43" s="50"/>
      <c r="Q43" s="51"/>
    </row>
    <row r="44" spans="2:17" x14ac:dyDescent="0.35">
      <c r="B44" s="48">
        <v>0.1103</v>
      </c>
      <c r="C44" s="50">
        <v>80682</v>
      </c>
      <c r="D44" s="50">
        <v>86644</v>
      </c>
      <c r="E44" s="50">
        <v>95700</v>
      </c>
      <c r="F44" s="50">
        <v>107110</v>
      </c>
      <c r="G44" s="50">
        <v>126446</v>
      </c>
      <c r="H44" s="50">
        <v>146066</v>
      </c>
      <c r="I44" s="50"/>
      <c r="J44" s="50"/>
      <c r="K44" s="50"/>
      <c r="L44" s="50"/>
      <c r="M44" s="50"/>
      <c r="N44" s="50"/>
      <c r="O44" s="50"/>
      <c r="P44" s="50"/>
      <c r="Q44" s="51"/>
    </row>
    <row r="45" spans="2:17" x14ac:dyDescent="0.35">
      <c r="B45" s="48">
        <v>0.1169</v>
      </c>
      <c r="C45" s="50">
        <v>83565</v>
      </c>
      <c r="D45" s="50">
        <v>89112</v>
      </c>
      <c r="E45" s="50">
        <v>97599</v>
      </c>
      <c r="F45" s="50">
        <v>108381</v>
      </c>
      <c r="G45" s="50">
        <v>127529</v>
      </c>
      <c r="H45" s="50">
        <v>146964</v>
      </c>
      <c r="I45" s="50"/>
      <c r="J45" s="50"/>
      <c r="K45" s="50"/>
      <c r="L45" s="50"/>
      <c r="M45" s="50"/>
      <c r="N45" s="50"/>
      <c r="O45" s="50"/>
      <c r="P45" s="50"/>
      <c r="Q45" s="51"/>
    </row>
    <row r="46" spans="2:17" x14ac:dyDescent="0.35">
      <c r="B46" s="48">
        <v>0.1235</v>
      </c>
      <c r="C46" s="50">
        <v>85760</v>
      </c>
      <c r="D46" s="50">
        <v>90900</v>
      </c>
      <c r="E46" s="50">
        <v>98814</v>
      </c>
      <c r="F46" s="50">
        <v>108942</v>
      </c>
      <c r="G46" s="50">
        <v>127799</v>
      </c>
      <c r="H46" s="50">
        <v>146940</v>
      </c>
      <c r="I46" s="50"/>
      <c r="J46" s="50"/>
      <c r="K46" s="50"/>
      <c r="L46" s="50"/>
      <c r="M46" s="50"/>
      <c r="N46" s="50"/>
      <c r="O46" s="50"/>
      <c r="P46" s="50"/>
      <c r="Q46" s="51"/>
    </row>
    <row r="47" spans="2:17" x14ac:dyDescent="0.35">
      <c r="B47" s="48">
        <v>0.13020000000000001</v>
      </c>
      <c r="C47" s="50">
        <v>87219</v>
      </c>
      <c r="D47" s="50">
        <v>91960</v>
      </c>
      <c r="E47" s="50">
        <v>99302</v>
      </c>
      <c r="F47" s="50">
        <v>108759</v>
      </c>
      <c r="G47" s="50">
        <v>127221</v>
      </c>
      <c r="H47" s="50">
        <v>145963</v>
      </c>
      <c r="I47" s="50"/>
      <c r="J47" s="50"/>
      <c r="K47" s="50"/>
      <c r="L47" s="50"/>
      <c r="M47" s="50"/>
      <c r="N47" s="50"/>
      <c r="O47" s="50"/>
      <c r="P47" s="50"/>
      <c r="Q47" s="51"/>
    </row>
    <row r="48" spans="2:17" x14ac:dyDescent="0.35">
      <c r="B48" s="48">
        <v>0.1368</v>
      </c>
      <c r="C48" s="50">
        <v>87823</v>
      </c>
      <c r="D48" s="50">
        <v>92172</v>
      </c>
      <c r="E48" s="50">
        <v>98939</v>
      </c>
      <c r="F48" s="50">
        <v>107710</v>
      </c>
      <c r="G48" s="50">
        <v>125658</v>
      </c>
      <c r="H48" s="50">
        <v>143879</v>
      </c>
      <c r="I48" s="50"/>
      <c r="J48" s="50"/>
      <c r="K48" s="50"/>
      <c r="L48" s="50"/>
      <c r="M48" s="50"/>
      <c r="N48" s="50"/>
      <c r="O48" s="50"/>
      <c r="P48" s="50"/>
      <c r="Q48" s="51"/>
    </row>
    <row r="49" spans="2:17" x14ac:dyDescent="0.35">
      <c r="B49" s="48">
        <v>0.14349999999999999</v>
      </c>
      <c r="C49" s="50">
        <v>87452</v>
      </c>
      <c r="D49" s="50">
        <v>91411</v>
      </c>
      <c r="E49" s="50">
        <v>97600</v>
      </c>
      <c r="F49" s="50">
        <v>105666</v>
      </c>
      <c r="G49" s="50">
        <v>122969</v>
      </c>
      <c r="H49" s="50">
        <v>140533</v>
      </c>
      <c r="I49" s="50"/>
      <c r="J49" s="50"/>
      <c r="K49" s="50"/>
      <c r="L49" s="50"/>
      <c r="M49" s="50"/>
      <c r="N49" s="50"/>
      <c r="O49" s="50"/>
      <c r="P49" s="50"/>
      <c r="Q49" s="51"/>
    </row>
    <row r="50" spans="2:17" x14ac:dyDescent="0.35">
      <c r="B50" s="48">
        <v>0.15010000000000001</v>
      </c>
      <c r="C50" s="50">
        <v>86073</v>
      </c>
      <c r="D50" s="50">
        <v>89648</v>
      </c>
      <c r="E50" s="50">
        <v>95261</v>
      </c>
      <c r="F50" s="50">
        <v>102611</v>
      </c>
      <c r="G50" s="50">
        <v>119139</v>
      </c>
      <c r="H50" s="50">
        <v>135914</v>
      </c>
      <c r="I50" s="50"/>
      <c r="J50" s="50"/>
      <c r="K50" s="50"/>
      <c r="L50" s="50"/>
      <c r="M50" s="50"/>
      <c r="N50" s="50"/>
      <c r="O50" s="50"/>
      <c r="P50" s="50"/>
      <c r="Q50" s="51"/>
    </row>
    <row r="51" spans="2:17" x14ac:dyDescent="0.35">
      <c r="B51" s="48">
        <v>0.15679999999999999</v>
      </c>
      <c r="C51" s="50">
        <v>83721</v>
      </c>
      <c r="D51" s="50">
        <v>86922</v>
      </c>
      <c r="E51" s="50">
        <v>91967</v>
      </c>
      <c r="F51" s="50">
        <v>98603</v>
      </c>
      <c r="G51" s="50">
        <v>114240</v>
      </c>
      <c r="H51" s="50">
        <v>130108</v>
      </c>
      <c r="I51" s="50"/>
      <c r="J51" s="50"/>
      <c r="K51" s="50"/>
      <c r="L51" s="50"/>
      <c r="M51" s="50"/>
      <c r="N51" s="50"/>
      <c r="O51" s="50"/>
      <c r="P51" s="50"/>
      <c r="Q51" s="51"/>
    </row>
    <row r="52" spans="2:17" x14ac:dyDescent="0.35">
      <c r="B52" s="48">
        <v>0.16339999999999999</v>
      </c>
      <c r="C52" s="50">
        <v>80335</v>
      </c>
      <c r="D52" s="50">
        <v>83172</v>
      </c>
      <c r="E52" s="50">
        <v>87657</v>
      </c>
      <c r="F52" s="50">
        <v>93582</v>
      </c>
      <c r="G52" s="50">
        <v>108207</v>
      </c>
      <c r="H52" s="50">
        <v>123044</v>
      </c>
      <c r="I52" s="50"/>
      <c r="J52" s="50"/>
      <c r="K52" s="50"/>
      <c r="L52" s="50"/>
      <c r="M52" s="50"/>
      <c r="N52" s="50"/>
      <c r="O52" s="50"/>
      <c r="P52" s="50"/>
      <c r="Q52" s="51"/>
    </row>
    <row r="53" spans="2:17" x14ac:dyDescent="0.35">
      <c r="B53" s="48">
        <v>0.1701</v>
      </c>
      <c r="C53" s="50">
        <v>75478</v>
      </c>
      <c r="D53" s="50">
        <v>77946</v>
      </c>
      <c r="E53" s="50">
        <v>81861</v>
      </c>
      <c r="F53" s="50">
        <v>87052</v>
      </c>
      <c r="G53" s="50">
        <v>100470</v>
      </c>
      <c r="H53" s="50">
        <v>114079</v>
      </c>
      <c r="I53" s="50"/>
      <c r="J53" s="50"/>
      <c r="K53" s="50"/>
      <c r="L53" s="50"/>
      <c r="M53" s="50"/>
      <c r="N53" s="50"/>
      <c r="O53" s="50"/>
      <c r="P53" s="50"/>
      <c r="Q53" s="51"/>
    </row>
    <row r="54" spans="2:17" x14ac:dyDescent="0.35">
      <c r="B54" s="48">
        <v>0.1767</v>
      </c>
      <c r="C54" s="50">
        <v>68589</v>
      </c>
      <c r="D54" s="50">
        <v>70671</v>
      </c>
      <c r="E54" s="50">
        <v>73984</v>
      </c>
      <c r="F54" s="50">
        <v>78392</v>
      </c>
      <c r="G54" s="50">
        <v>90319</v>
      </c>
      <c r="H54" s="50">
        <v>102413</v>
      </c>
      <c r="I54" s="50"/>
      <c r="J54" s="50"/>
      <c r="K54" s="50"/>
      <c r="L54" s="50"/>
      <c r="M54" s="50"/>
      <c r="N54" s="50"/>
      <c r="O54" s="50"/>
      <c r="P54" s="50"/>
      <c r="Q54" s="51"/>
    </row>
    <row r="55" spans="2:17" x14ac:dyDescent="0.35">
      <c r="B55" s="48">
        <v>0.18340000000000001</v>
      </c>
      <c r="C55" s="50">
        <v>59318</v>
      </c>
      <c r="D55" s="50">
        <v>60993</v>
      </c>
      <c r="E55" s="50">
        <v>63667</v>
      </c>
      <c r="F55" s="50">
        <v>67236</v>
      </c>
      <c r="G55" s="50">
        <v>77342</v>
      </c>
      <c r="H55" s="50">
        <v>87585</v>
      </c>
      <c r="I55" s="50"/>
      <c r="J55" s="50"/>
      <c r="K55" s="50"/>
      <c r="L55" s="50"/>
      <c r="M55" s="50"/>
      <c r="N55" s="50"/>
      <c r="O55" s="50"/>
      <c r="P55" s="50"/>
      <c r="Q55" s="51"/>
    </row>
    <row r="56" spans="2:17" x14ac:dyDescent="0.35">
      <c r="B56" s="48">
        <v>0.19</v>
      </c>
      <c r="C56" s="50">
        <v>47617</v>
      </c>
      <c r="D56" s="50">
        <v>48872</v>
      </c>
      <c r="E56" s="50">
        <v>50879</v>
      </c>
      <c r="F56" s="50">
        <v>53568</v>
      </c>
      <c r="G56" s="50">
        <v>61526</v>
      </c>
      <c r="H56" s="50">
        <v>69592</v>
      </c>
      <c r="I56" s="50"/>
      <c r="J56" s="50"/>
      <c r="K56" s="50"/>
      <c r="L56" s="50"/>
      <c r="M56" s="50"/>
      <c r="N56" s="50"/>
      <c r="O56" s="50"/>
      <c r="P56" s="50"/>
      <c r="Q56" s="51"/>
    </row>
    <row r="57" spans="2:17" ht="15" thickBot="1" x14ac:dyDescent="0.4">
      <c r="B57" s="60">
        <v>0.19670000000000001</v>
      </c>
      <c r="C57" s="55">
        <v>33458</v>
      </c>
      <c r="D57" s="55">
        <v>34285</v>
      </c>
      <c r="E57" s="55">
        <v>35609</v>
      </c>
      <c r="F57" s="55">
        <v>37388</v>
      </c>
      <c r="G57" s="55">
        <v>42884</v>
      </c>
      <c r="H57" s="55">
        <v>48451</v>
      </c>
      <c r="I57" s="55"/>
      <c r="J57" s="55"/>
      <c r="K57" s="55"/>
      <c r="L57" s="55"/>
      <c r="M57" s="55"/>
      <c r="N57" s="55"/>
      <c r="O57" s="55"/>
      <c r="P57" s="55"/>
      <c r="Q57" s="5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AJ66"/>
  <sheetViews>
    <sheetView zoomScaleNormal="100" workbookViewId="0">
      <selection activeCell="R21" sqref="R21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5" t="s">
        <v>114</v>
      </c>
      <c r="C1" s="46"/>
      <c r="D1" s="46"/>
      <c r="E1" s="46"/>
      <c r="F1" s="46"/>
      <c r="G1" s="46"/>
      <c r="H1" s="46" t="s">
        <v>38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14</v>
      </c>
      <c r="N1" s="47" t="s">
        <v>16</v>
      </c>
      <c r="P1" s="45" t="s">
        <v>104</v>
      </c>
      <c r="Q1" s="46"/>
      <c r="R1" s="46"/>
      <c r="S1" s="47"/>
      <c r="U1" s="45" t="s">
        <v>67</v>
      </c>
      <c r="V1" s="46"/>
      <c r="W1" s="46" t="s">
        <v>68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</row>
    <row r="2" spans="2:36" x14ac:dyDescent="0.35">
      <c r="B2" s="48" t="s">
        <v>21</v>
      </c>
      <c r="C2" s="49">
        <v>0.32</v>
      </c>
      <c r="D2" s="50"/>
      <c r="E2" s="50"/>
      <c r="F2" s="50"/>
      <c r="G2" s="50"/>
      <c r="H2" s="50" t="s">
        <v>60</v>
      </c>
      <c r="I2" s="50">
        <f t="array" ref="I2:N2">LINEST($C$8:$C$28,$B$8:$B$28^{1,2,3,4,5})</f>
        <v>-17.257561323231567</v>
      </c>
      <c r="J2" s="50">
        <v>37.565022159207636</v>
      </c>
      <c r="K2" s="50">
        <v>-31.381743239483988</v>
      </c>
      <c r="L2" s="50">
        <v>10.772884543165699</v>
      </c>
      <c r="M2" s="50">
        <v>0.39110043132763478</v>
      </c>
      <c r="N2" s="51">
        <v>1.0194790457948688E-2</v>
      </c>
      <c r="P2" s="52" t="s">
        <v>110</v>
      </c>
      <c r="Q2" s="49" t="s">
        <v>111</v>
      </c>
      <c r="R2" s="49" t="s">
        <v>83</v>
      </c>
      <c r="S2" s="51"/>
      <c r="U2" s="48" t="s">
        <v>74</v>
      </c>
      <c r="V2" s="50">
        <v>20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1"/>
    </row>
    <row r="3" spans="2:36" x14ac:dyDescent="0.35">
      <c r="B3" s="48" t="s">
        <v>34</v>
      </c>
      <c r="C3" s="49">
        <f>B25</f>
        <v>0.74604000000000004</v>
      </c>
      <c r="D3" s="50"/>
      <c r="E3" s="50"/>
      <c r="F3" s="50"/>
      <c r="G3" s="50"/>
      <c r="H3" s="50"/>
      <c r="I3" s="50" t="s">
        <v>7</v>
      </c>
      <c r="J3" s="50" t="s">
        <v>8</v>
      </c>
      <c r="K3" s="50" t="s">
        <v>9</v>
      </c>
      <c r="L3" s="50" t="s">
        <v>10</v>
      </c>
      <c r="M3" s="50" t="s">
        <v>14</v>
      </c>
      <c r="N3" s="51" t="s">
        <v>16</v>
      </c>
      <c r="P3" s="69"/>
      <c r="Q3" s="65"/>
      <c r="R3" s="65"/>
      <c r="S3" s="51"/>
      <c r="U3" s="48" t="s">
        <v>69</v>
      </c>
      <c r="V3" s="61">
        <f>133.332*EXP(20.386-5132/($V$2+273.15))</f>
        <v>2374.2721715276289</v>
      </c>
      <c r="W3" s="61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1"/>
    </row>
    <row r="4" spans="2:36" x14ac:dyDescent="0.35">
      <c r="B4" s="48" t="s">
        <v>39</v>
      </c>
      <c r="C4" s="49">
        <f>B28</f>
        <v>0.87768999999999997</v>
      </c>
      <c r="D4" s="50"/>
      <c r="E4" s="50"/>
      <c r="F4" s="50"/>
      <c r="G4" s="50"/>
      <c r="H4" s="50" t="s">
        <v>51</v>
      </c>
      <c r="I4" s="50">
        <f t="array" ref="I4:N4">LINEST($E$8:$E$28,$B$8:$B$28^{1,2,3,4,5})</f>
        <v>1.5239505260419788</v>
      </c>
      <c r="J4" s="50">
        <v>-3.2576356200348808</v>
      </c>
      <c r="K4" s="50">
        <v>2.1657326228495566</v>
      </c>
      <c r="L4" s="50">
        <v>-0.46409165122598395</v>
      </c>
      <c r="M4" s="50">
        <v>1.930666615991887E-2</v>
      </c>
      <c r="N4" s="51">
        <v>2.263935881018006E-2</v>
      </c>
      <c r="P4" s="69"/>
      <c r="Q4" s="65"/>
      <c r="R4" s="65"/>
      <c r="S4" s="51"/>
      <c r="U4" s="48" t="s">
        <v>73</v>
      </c>
      <c r="V4" s="50">
        <f>101325+$V$5*$V$7*$V$6</f>
        <v>105345.7265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</row>
    <row r="5" spans="2:36" x14ac:dyDescent="0.35">
      <c r="B5" s="48" t="s">
        <v>24</v>
      </c>
      <c r="C5" s="50">
        <f>LARGE(C8:C30,1)</f>
        <v>0.90890000000000004</v>
      </c>
      <c r="D5" s="50"/>
      <c r="E5" s="50"/>
      <c r="F5" s="50"/>
      <c r="G5" s="50"/>
      <c r="H5" s="50"/>
      <c r="I5" s="50" t="s">
        <v>7</v>
      </c>
      <c r="J5" s="50" t="s">
        <v>8</v>
      </c>
      <c r="K5" s="50" t="s">
        <v>9</v>
      </c>
      <c r="L5" s="50" t="s">
        <v>10</v>
      </c>
      <c r="M5" s="50" t="s">
        <v>14</v>
      </c>
      <c r="N5" s="51" t="s">
        <v>16</v>
      </c>
      <c r="P5" s="69"/>
      <c r="Q5" s="65"/>
      <c r="R5" s="65"/>
      <c r="S5" s="51"/>
      <c r="U5" s="48" t="s">
        <v>72</v>
      </c>
      <c r="V5" s="50">
        <v>1025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9"/>
    </row>
    <row r="6" spans="2:36" x14ac:dyDescent="0.35">
      <c r="B6" s="48"/>
      <c r="C6" s="50"/>
      <c r="D6" s="50"/>
      <c r="E6" s="50"/>
      <c r="F6" s="50"/>
      <c r="G6" s="50"/>
      <c r="H6" s="50" t="s">
        <v>52</v>
      </c>
      <c r="I6" s="50">
        <f t="array" ref="I6:N6">LINEST($D$8:$D$28,$B$8:$B$28^{1,2,3,4,5})</f>
        <v>2.0333767514740906</v>
      </c>
      <c r="J6" s="50">
        <v>-3.9921009660689895</v>
      </c>
      <c r="K6" s="50">
        <v>2.3346997120056279</v>
      </c>
      <c r="L6" s="50">
        <v>-0.42600051372157455</v>
      </c>
      <c r="M6" s="50">
        <v>4.3156582254401055E-2</v>
      </c>
      <c r="N6" s="51">
        <v>2.7887381313639437E-2</v>
      </c>
      <c r="P6" s="69"/>
      <c r="Q6" s="65"/>
      <c r="R6" s="65"/>
      <c r="S6" s="51"/>
      <c r="U6" s="48" t="s">
        <v>70</v>
      </c>
      <c r="V6" s="50">
        <v>0.4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9"/>
    </row>
    <row r="7" spans="2:36" x14ac:dyDescent="0.35">
      <c r="B7" s="48" t="s">
        <v>0</v>
      </c>
      <c r="C7" s="50" t="s">
        <v>15</v>
      </c>
      <c r="D7" s="50" t="s">
        <v>50</v>
      </c>
      <c r="E7" s="50" t="s">
        <v>49</v>
      </c>
      <c r="F7" s="50"/>
      <c r="G7" s="50"/>
      <c r="H7" s="50"/>
      <c r="I7" s="50"/>
      <c r="J7" s="50"/>
      <c r="K7" s="50"/>
      <c r="L7" s="50"/>
      <c r="M7" s="50"/>
      <c r="N7" s="51"/>
      <c r="P7" s="69"/>
      <c r="Q7" s="65"/>
      <c r="R7" s="65"/>
      <c r="S7" s="51"/>
      <c r="U7" s="48" t="s">
        <v>71</v>
      </c>
      <c r="V7" s="50">
        <v>9.8066499999999994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x14ac:dyDescent="0.35">
      <c r="B8">
        <v>0</v>
      </c>
      <c r="C8">
        <v>0</v>
      </c>
      <c r="D8" s="68">
        <v>2.827E-2</v>
      </c>
      <c r="E8" s="68">
        <v>2.3009999999999999E-2</v>
      </c>
      <c r="F8" s="50"/>
      <c r="G8" s="50"/>
      <c r="H8" s="50"/>
      <c r="I8" s="50"/>
      <c r="J8" s="50"/>
      <c r="K8" s="50"/>
      <c r="L8" s="50"/>
      <c r="M8" s="50"/>
      <c r="N8" s="51"/>
      <c r="P8" s="69"/>
      <c r="Q8" s="65"/>
      <c r="R8" s="65"/>
      <c r="S8" s="51"/>
      <c r="U8" s="48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1"/>
    </row>
    <row r="9" spans="2:36" x14ac:dyDescent="0.35">
      <c r="B9">
        <v>4.3880000000000002E-2</v>
      </c>
      <c r="C9">
        <v>5.6300000000000003E-2</v>
      </c>
      <c r="D9" s="68">
        <v>2.86E-2</v>
      </c>
      <c r="E9" s="68">
        <v>2.2280000000000001E-2</v>
      </c>
      <c r="F9" s="50"/>
      <c r="G9" s="50"/>
      <c r="H9" s="50"/>
      <c r="I9" s="50"/>
      <c r="J9" s="50"/>
      <c r="K9" s="50"/>
      <c r="L9" s="50"/>
      <c r="M9" s="50"/>
      <c r="N9" s="51"/>
      <c r="P9" s="69"/>
      <c r="Q9" s="65"/>
      <c r="R9" s="65"/>
      <c r="S9" s="51"/>
      <c r="U9" s="48"/>
      <c r="V9" s="50"/>
      <c r="W9" s="50"/>
      <c r="X9" s="50"/>
      <c r="Y9" s="50" t="s">
        <v>109</v>
      </c>
      <c r="Z9" s="50">
        <v>0.16</v>
      </c>
      <c r="AA9" s="50"/>
      <c r="AB9" s="50"/>
      <c r="AC9" s="50"/>
      <c r="AD9" s="50"/>
      <c r="AE9" s="50"/>
      <c r="AF9" s="50"/>
      <c r="AG9" s="50"/>
      <c r="AH9" s="50"/>
      <c r="AI9" s="50"/>
      <c r="AJ9" s="51"/>
    </row>
    <row r="10" spans="2:36" x14ac:dyDescent="0.35">
      <c r="B10">
        <v>8.7770000000000001E-2</v>
      </c>
      <c r="C10">
        <v>0.11890000000000001</v>
      </c>
      <c r="D10" s="68">
        <v>2.9309999999999999E-2</v>
      </c>
      <c r="E10" s="68">
        <v>2.163E-2</v>
      </c>
      <c r="F10" s="49"/>
      <c r="G10" s="49"/>
      <c r="H10" s="50"/>
      <c r="I10" s="50"/>
      <c r="J10" s="49"/>
      <c r="K10" s="50"/>
      <c r="L10" s="50"/>
      <c r="M10" s="50"/>
      <c r="N10" s="51"/>
      <c r="P10" s="69"/>
      <c r="Q10" s="65"/>
      <c r="R10" s="65"/>
      <c r="S10" s="59"/>
      <c r="T10" t="s">
        <v>6</v>
      </c>
      <c r="U10" s="48" t="s">
        <v>77</v>
      </c>
      <c r="V10" s="50" t="s">
        <v>78</v>
      </c>
      <c r="W10" s="50" t="s">
        <v>79</v>
      </c>
      <c r="X10" s="50" t="s">
        <v>80</v>
      </c>
      <c r="Y10" s="50" t="s">
        <v>76</v>
      </c>
      <c r="Z10" s="50" t="s">
        <v>86</v>
      </c>
      <c r="AA10" s="50" t="s">
        <v>87</v>
      </c>
      <c r="AB10" s="50" t="s">
        <v>76</v>
      </c>
      <c r="AC10" s="50"/>
      <c r="AD10" s="50"/>
      <c r="AE10" s="50"/>
      <c r="AF10" s="50"/>
      <c r="AG10" s="50"/>
      <c r="AH10" s="50"/>
      <c r="AI10" s="50"/>
      <c r="AJ10" s="51"/>
    </row>
    <row r="11" spans="2:36" x14ac:dyDescent="0.35">
      <c r="B11">
        <v>0.13164999999999999</v>
      </c>
      <c r="C11">
        <v>0.18940000000000001</v>
      </c>
      <c r="D11" s="68">
        <v>3.0460000000000001E-2</v>
      </c>
      <c r="E11" s="68">
        <v>2.1180000000000001E-2</v>
      </c>
      <c r="F11" s="49"/>
      <c r="G11" s="49"/>
      <c r="H11" s="50"/>
      <c r="I11" s="50"/>
      <c r="J11" s="49"/>
      <c r="K11" s="50"/>
      <c r="L11" s="50"/>
      <c r="M11" s="50"/>
      <c r="N11" s="51"/>
      <c r="P11" s="69"/>
      <c r="Q11" s="65"/>
      <c r="R11" s="65"/>
      <c r="S11" s="51"/>
      <c r="T11">
        <f>120*53/14</f>
        <v>454.28571428571428</v>
      </c>
      <c r="U11" s="48">
        <v>1</v>
      </c>
      <c r="V11" s="62">
        <f>T11*PI()/30</f>
        <v>47.572688754359724</v>
      </c>
      <c r="W11" s="63">
        <f>V11*$Z$9</f>
        <v>7.6116302006975562</v>
      </c>
      <c r="X11" s="63">
        <f t="shared" ref="X11:X16" si="0">SQRT(W11^2+U11^2)</f>
        <v>7.677038121057568</v>
      </c>
      <c r="Y11" s="63">
        <f t="shared" ref="Y11:Y16" si="1">($V$3-$V$4-$V$5*$V$6*$V$7)/(0.5*$V$5*X11^2)</f>
        <v>-3.5421812173446594</v>
      </c>
      <c r="Z11" s="63">
        <f>0.69375*$Z$9*V11</f>
        <v>5.2805684517339291</v>
      </c>
      <c r="AA11" s="63">
        <f t="shared" ref="AA11:AA16" si="2">SQRT(Z11^2+U11^2)</f>
        <v>5.3744211942727063</v>
      </c>
      <c r="AB11" s="63">
        <f t="shared" ref="AB11:AB16" si="3">($V$3-$V$4-$V$5*$V$6*$V$7)/(0.5*$V$5*AA11^2)</f>
        <v>-7.227611027003463</v>
      </c>
      <c r="AC11" s="50"/>
      <c r="AD11" s="50"/>
      <c r="AE11" s="50"/>
      <c r="AF11" s="50"/>
      <c r="AG11" s="50"/>
      <c r="AH11" s="50"/>
      <c r="AI11" s="50"/>
      <c r="AJ11" s="51"/>
    </row>
    <row r="12" spans="2:36" x14ac:dyDescent="0.35">
      <c r="B12">
        <v>0.17554</v>
      </c>
      <c r="C12">
        <v>0.2676</v>
      </c>
      <c r="D12" s="68">
        <v>3.2030000000000003E-2</v>
      </c>
      <c r="E12" s="68">
        <v>2.1010000000000001E-2</v>
      </c>
      <c r="F12" s="49"/>
      <c r="G12" s="49"/>
      <c r="H12" s="50"/>
      <c r="I12" s="50"/>
      <c r="J12" s="49"/>
      <c r="K12" s="50"/>
      <c r="L12" s="50"/>
      <c r="M12" s="50"/>
      <c r="N12" s="51"/>
      <c r="P12" s="69"/>
      <c r="Q12" s="65"/>
      <c r="R12" s="65"/>
      <c r="S12" s="51"/>
      <c r="T12">
        <f t="shared" ref="T12:T16" si="4">120*53/14</f>
        <v>454.28571428571428</v>
      </c>
      <c r="U12" s="48">
        <v>2</v>
      </c>
      <c r="V12" s="62">
        <f t="shared" ref="V12:V16" si="5">T12*PI()/30</f>
        <v>47.572688754359724</v>
      </c>
      <c r="W12" s="63">
        <f t="shared" ref="W12:W16" si="6">V12*$Z$9</f>
        <v>7.6116302006975562</v>
      </c>
      <c r="X12" s="63">
        <f t="shared" si="0"/>
        <v>7.8700009092865493</v>
      </c>
      <c r="Y12" s="63">
        <f t="shared" si="1"/>
        <v>-3.370610777162983</v>
      </c>
      <c r="Z12" s="63">
        <f t="shared" ref="Z12:Z16" si="7">0.69375*$Z$9*V12</f>
        <v>5.2805684517339291</v>
      </c>
      <c r="AA12" s="63">
        <f t="shared" si="2"/>
        <v>5.6466275929485263</v>
      </c>
      <c r="AB12" s="63">
        <f t="shared" si="3"/>
        <v>-6.5475658976322721</v>
      </c>
      <c r="AC12" s="50"/>
      <c r="AD12" s="50"/>
      <c r="AE12" s="50"/>
      <c r="AF12" s="50"/>
      <c r="AG12" s="50"/>
      <c r="AH12" s="50"/>
      <c r="AI12" s="50"/>
      <c r="AJ12" s="51"/>
    </row>
    <row r="13" spans="2:36" x14ac:dyDescent="0.35">
      <c r="B13">
        <v>0.21942</v>
      </c>
      <c r="C13">
        <v>0.35160000000000002</v>
      </c>
      <c r="D13" s="68">
        <v>3.3950000000000001E-2</v>
      </c>
      <c r="E13" s="68">
        <v>2.1190000000000001E-2</v>
      </c>
      <c r="F13" s="49"/>
      <c r="G13" s="49"/>
      <c r="H13" s="50"/>
      <c r="I13" s="50"/>
      <c r="J13" s="49"/>
      <c r="K13" s="50"/>
      <c r="L13" s="50"/>
      <c r="M13" s="50"/>
      <c r="N13" s="51"/>
      <c r="P13" s="69"/>
      <c r="Q13" s="65"/>
      <c r="R13" s="65"/>
      <c r="S13" s="51"/>
      <c r="T13">
        <f>R21</f>
        <v>480</v>
      </c>
      <c r="U13" s="48">
        <v>3</v>
      </c>
      <c r="V13" s="62">
        <f t="shared" si="5"/>
        <v>50.265482457436683</v>
      </c>
      <c r="W13" s="63">
        <f t="shared" si="6"/>
        <v>8.0424771931898693</v>
      </c>
      <c r="X13" s="63">
        <f t="shared" si="0"/>
        <v>8.5837893382223207</v>
      </c>
      <c r="Y13" s="63">
        <f t="shared" si="1"/>
        <v>-2.8333489760296824</v>
      </c>
      <c r="Z13" s="63">
        <f t="shared" si="7"/>
        <v>5.5794685527754719</v>
      </c>
      <c r="AA13" s="63">
        <f t="shared" si="2"/>
        <v>6.3348614295350156</v>
      </c>
      <c r="AB13" s="63">
        <f t="shared" si="3"/>
        <v>-5.2021627048707861</v>
      </c>
      <c r="AC13" s="50"/>
      <c r="AD13" s="50"/>
      <c r="AE13" s="50"/>
      <c r="AF13" s="50"/>
      <c r="AG13" s="50"/>
      <c r="AH13" s="50"/>
      <c r="AI13" s="50"/>
      <c r="AJ13" s="51"/>
    </row>
    <row r="14" spans="2:36" ht="15" thickBot="1" x14ac:dyDescent="0.4">
      <c r="B14">
        <v>0.26330999999999999</v>
      </c>
      <c r="C14">
        <v>0.43769999999999998</v>
      </c>
      <c r="D14" s="68">
        <v>3.6139999999999999E-2</v>
      </c>
      <c r="E14" s="68">
        <v>2.1739999999999999E-2</v>
      </c>
      <c r="F14" s="49"/>
      <c r="G14" s="49"/>
      <c r="H14" s="50"/>
      <c r="I14" s="50"/>
      <c r="J14" s="49"/>
      <c r="K14" s="50"/>
      <c r="L14" s="50"/>
      <c r="M14" s="50"/>
      <c r="N14" s="51"/>
      <c r="P14" s="60"/>
      <c r="Q14" s="55"/>
      <c r="R14" s="55"/>
      <c r="S14" s="56"/>
      <c r="T14">
        <f t="shared" si="4"/>
        <v>454.28571428571428</v>
      </c>
      <c r="U14" s="48">
        <v>4</v>
      </c>
      <c r="V14" s="62">
        <f t="shared" si="5"/>
        <v>47.572688754359724</v>
      </c>
      <c r="W14" s="63">
        <f t="shared" si="6"/>
        <v>7.6116302006975562</v>
      </c>
      <c r="X14" s="63">
        <f t="shared" si="0"/>
        <v>8.5986577040937693</v>
      </c>
      <c r="Y14" s="63">
        <f t="shared" si="1"/>
        <v>-2.8235588789030417</v>
      </c>
      <c r="Z14" s="63">
        <f t="shared" si="7"/>
        <v>5.2805684517339291</v>
      </c>
      <c r="AA14" s="63">
        <f t="shared" si="2"/>
        <v>6.6245304115422146</v>
      </c>
      <c r="AB14" s="63">
        <f t="shared" si="3"/>
        <v>-4.7571623581094507</v>
      </c>
      <c r="AC14" s="50"/>
      <c r="AD14" s="50"/>
      <c r="AE14" s="50"/>
      <c r="AF14" s="50"/>
      <c r="AG14" s="50"/>
      <c r="AH14" s="50"/>
      <c r="AI14" s="50"/>
      <c r="AJ14" s="51"/>
    </row>
    <row r="15" spans="2:36" x14ac:dyDescent="0.35">
      <c r="B15">
        <v>0.30719000000000002</v>
      </c>
      <c r="C15">
        <v>0.52159999999999995</v>
      </c>
      <c r="D15" s="68">
        <v>3.8519999999999999E-2</v>
      </c>
      <c r="E15" s="68">
        <v>2.2689999999999998E-2</v>
      </c>
      <c r="F15" s="49"/>
      <c r="G15" s="49"/>
      <c r="H15" s="50"/>
      <c r="I15" s="50"/>
      <c r="J15" s="49"/>
      <c r="K15" s="50"/>
      <c r="L15" s="50"/>
      <c r="M15" s="50"/>
      <c r="N15" s="51"/>
      <c r="T15">
        <f t="shared" si="4"/>
        <v>454.28571428571428</v>
      </c>
      <c r="U15" s="48">
        <v>5</v>
      </c>
      <c r="V15" s="62">
        <f t="shared" si="5"/>
        <v>47.572688754359724</v>
      </c>
      <c r="W15" s="63">
        <f t="shared" si="6"/>
        <v>7.6116302006975562</v>
      </c>
      <c r="X15" s="63">
        <f t="shared" si="0"/>
        <v>9.10697064408199</v>
      </c>
      <c r="Y15" s="63">
        <f t="shared" si="1"/>
        <v>-2.517156957383782</v>
      </c>
      <c r="Z15" s="63">
        <f t="shared" si="7"/>
        <v>5.2805684517339291</v>
      </c>
      <c r="AA15" s="63">
        <f t="shared" si="2"/>
        <v>7.2721663329057362</v>
      </c>
      <c r="AB15" s="63">
        <f t="shared" si="3"/>
        <v>-3.9475765699789824</v>
      </c>
      <c r="AC15" s="50"/>
      <c r="AD15" s="50"/>
      <c r="AE15" s="50"/>
      <c r="AF15" s="64"/>
      <c r="AG15" s="64"/>
      <c r="AH15" s="50"/>
      <c r="AI15" s="50"/>
      <c r="AJ15" s="51"/>
    </row>
    <row r="16" spans="2:36" x14ac:dyDescent="0.35">
      <c r="B16">
        <v>0.35108</v>
      </c>
      <c r="C16">
        <v>0.59919999999999995</v>
      </c>
      <c r="D16" s="68">
        <v>4.1020000000000001E-2</v>
      </c>
      <c r="E16" s="68">
        <v>2.4039999999999999E-2</v>
      </c>
      <c r="F16" s="49"/>
      <c r="G16" s="49"/>
      <c r="H16" s="50"/>
      <c r="I16" s="50"/>
      <c r="J16" s="49"/>
      <c r="K16" s="50"/>
      <c r="L16" s="50"/>
      <c r="M16" s="50"/>
      <c r="N16" s="51"/>
      <c r="T16">
        <f t="shared" si="4"/>
        <v>454.28571428571428</v>
      </c>
      <c r="U16" s="48">
        <v>6</v>
      </c>
      <c r="V16" s="62">
        <f t="shared" si="5"/>
        <v>47.572688754359724</v>
      </c>
      <c r="W16" s="63">
        <f t="shared" si="6"/>
        <v>7.6116302006975562</v>
      </c>
      <c r="X16" s="63">
        <f t="shared" si="0"/>
        <v>9.6921057728530347</v>
      </c>
      <c r="Y16" s="63">
        <f t="shared" si="1"/>
        <v>-2.2223982170742334</v>
      </c>
      <c r="Z16" s="63">
        <f t="shared" si="7"/>
        <v>5.2805684517339291</v>
      </c>
      <c r="AA16" s="63">
        <f t="shared" si="2"/>
        <v>7.9927719330309719</v>
      </c>
      <c r="AB16" s="63">
        <f t="shared" si="3"/>
        <v>-3.2678591411118241</v>
      </c>
      <c r="AC16" s="50"/>
      <c r="AD16" s="50"/>
      <c r="AE16" s="50"/>
      <c r="AF16" s="64"/>
      <c r="AG16" s="64"/>
      <c r="AH16" s="50"/>
      <c r="AI16" s="50"/>
      <c r="AJ16" s="51"/>
    </row>
    <row r="17" spans="2:36" x14ac:dyDescent="0.35">
      <c r="B17">
        <v>0.39495999999999998</v>
      </c>
      <c r="C17">
        <v>0.66739999999999999</v>
      </c>
      <c r="D17" s="68">
        <v>4.3569999999999998E-2</v>
      </c>
      <c r="E17" s="68">
        <v>2.579E-2</v>
      </c>
      <c r="F17" s="49"/>
      <c r="G17" s="49"/>
      <c r="H17" s="50"/>
      <c r="I17" s="50"/>
      <c r="J17" s="49"/>
      <c r="K17" s="50"/>
      <c r="L17" s="50"/>
      <c r="M17" s="50"/>
      <c r="N17" s="51"/>
      <c r="U17" s="48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1"/>
    </row>
    <row r="18" spans="2:36" x14ac:dyDescent="0.35">
      <c r="B18">
        <v>0.43885000000000002</v>
      </c>
      <c r="C18">
        <v>0.72470000000000001</v>
      </c>
      <c r="D18" s="68">
        <v>4.6109999999999998E-2</v>
      </c>
      <c r="E18" s="68">
        <v>2.793E-2</v>
      </c>
      <c r="F18" s="49"/>
      <c r="G18" s="49"/>
      <c r="H18" s="50"/>
      <c r="I18" s="50"/>
      <c r="J18" s="49"/>
      <c r="K18" s="50"/>
      <c r="L18" s="50"/>
      <c r="M18" s="50"/>
      <c r="N18" s="51"/>
      <c r="U18" s="48"/>
      <c r="V18" s="50"/>
      <c r="W18" s="50"/>
      <c r="X18" s="50"/>
      <c r="Y18" s="50"/>
      <c r="Z18" s="50"/>
      <c r="AA18" s="50"/>
      <c r="AB18" s="50">
        <f>0.7*Z9</f>
        <v>0.11199999999999999</v>
      </c>
      <c r="AC18" s="50"/>
      <c r="AD18" s="50"/>
      <c r="AE18" s="50"/>
      <c r="AF18" s="50"/>
      <c r="AI18" s="50"/>
      <c r="AJ18" s="51"/>
    </row>
    <row r="19" spans="2:36" x14ac:dyDescent="0.35">
      <c r="B19">
        <v>0.48272999999999999</v>
      </c>
      <c r="C19">
        <v>0.77059999999999995</v>
      </c>
      <c r="D19" s="68">
        <v>4.8599999999999997E-2</v>
      </c>
      <c r="E19" s="68">
        <v>3.0439999999999998E-2</v>
      </c>
      <c r="F19" s="49"/>
      <c r="G19" s="49"/>
      <c r="H19" s="50"/>
      <c r="I19" s="50"/>
      <c r="J19" s="49"/>
      <c r="K19" s="50"/>
      <c r="L19" s="50"/>
      <c r="M19" s="50"/>
      <c r="N19" s="51"/>
      <c r="R19">
        <v>52</v>
      </c>
      <c r="U19" s="48" t="s">
        <v>81</v>
      </c>
      <c r="V19" s="50" t="s">
        <v>63</v>
      </c>
      <c r="W19" s="50"/>
      <c r="X19" s="50"/>
      <c r="Y19" s="50"/>
      <c r="Z19" s="50"/>
      <c r="AA19" s="50"/>
      <c r="AB19" s="50" t="s">
        <v>88</v>
      </c>
      <c r="AC19" s="50"/>
      <c r="AD19" s="50"/>
      <c r="AE19" s="50"/>
      <c r="AF19" s="50"/>
      <c r="AG19" s="50"/>
      <c r="AH19" s="50"/>
      <c r="AI19" s="50"/>
      <c r="AJ19" s="51"/>
    </row>
    <row r="20" spans="2:36" x14ac:dyDescent="0.35">
      <c r="B20">
        <v>0.52661999999999998</v>
      </c>
      <c r="C20">
        <v>0.80640000000000001</v>
      </c>
      <c r="D20" s="68">
        <v>5.101E-2</v>
      </c>
      <c r="E20" s="68">
        <v>3.3309999999999999E-2</v>
      </c>
      <c r="F20" s="49"/>
      <c r="G20" s="49"/>
      <c r="H20" s="50"/>
      <c r="I20" s="50"/>
      <c r="J20" s="49"/>
      <c r="K20" s="50"/>
      <c r="L20" s="50"/>
      <c r="M20" s="50"/>
      <c r="N20" s="51"/>
      <c r="R20">
        <v>13</v>
      </c>
      <c r="U20" s="48" t="s">
        <v>77</v>
      </c>
      <c r="V20" s="50" t="s">
        <v>64</v>
      </c>
      <c r="W20" s="50" t="s">
        <v>95</v>
      </c>
      <c r="X20" s="50"/>
      <c r="Y20" s="50" t="s">
        <v>75</v>
      </c>
      <c r="Z20" s="50" t="s">
        <v>100</v>
      </c>
      <c r="AA20" s="50"/>
      <c r="AB20" s="50" t="s">
        <v>64</v>
      </c>
      <c r="AC20" s="50" t="s">
        <v>95</v>
      </c>
      <c r="AD20" s="50"/>
      <c r="AE20" s="50" t="s">
        <v>75</v>
      </c>
      <c r="AF20" s="50" t="s">
        <v>100</v>
      </c>
      <c r="AG20" s="50"/>
      <c r="AH20" s="50"/>
      <c r="AI20" s="50"/>
      <c r="AJ20" s="51"/>
    </row>
    <row r="21" spans="2:36" x14ac:dyDescent="0.35">
      <c r="B21">
        <v>0.57050000000000001</v>
      </c>
      <c r="C21">
        <v>0.8599</v>
      </c>
      <c r="D21" s="68">
        <v>4.9509999999999998E-2</v>
      </c>
      <c r="E21" s="68">
        <v>3.2849999999999997E-2</v>
      </c>
      <c r="F21" s="49"/>
      <c r="G21" s="49"/>
      <c r="H21" s="50"/>
      <c r="I21" s="50"/>
      <c r="J21" s="49"/>
      <c r="K21" s="50"/>
      <c r="L21" s="50"/>
      <c r="M21" s="50"/>
      <c r="N21" s="51"/>
      <c r="R21">
        <f>120*R19/R20</f>
        <v>480</v>
      </c>
      <c r="U21" s="48">
        <v>1</v>
      </c>
      <c r="V21" s="50"/>
      <c r="W21" s="50"/>
      <c r="X21" s="50"/>
      <c r="Y21" s="66"/>
      <c r="Z21" s="50" t="e">
        <f t="shared" ref="Z21:Z25" si="8">Y11/Y21</f>
        <v>#DIV/0!</v>
      </c>
      <c r="AA21" s="50"/>
      <c r="AB21" s="50"/>
      <c r="AC21" s="50"/>
      <c r="AD21" s="50"/>
      <c r="AE21" s="50"/>
      <c r="AF21" s="50" t="e">
        <f t="shared" ref="AF21:AF25" si="9">AB11/AE21</f>
        <v>#DIV/0!</v>
      </c>
      <c r="AG21" s="50"/>
      <c r="AH21" s="50"/>
      <c r="AI21" s="50"/>
      <c r="AJ21" s="51"/>
    </row>
    <row r="22" spans="2:36" x14ac:dyDescent="0.35">
      <c r="B22">
        <v>0.61438000000000004</v>
      </c>
      <c r="C22">
        <v>0.87849999999999995</v>
      </c>
      <c r="D22" s="68">
        <v>4.3729999999999998E-2</v>
      </c>
      <c r="E22" s="68">
        <v>3.058E-2</v>
      </c>
      <c r="F22" s="49"/>
      <c r="G22" s="49"/>
      <c r="H22" s="50"/>
      <c r="I22" s="50"/>
      <c r="J22" s="49"/>
      <c r="K22" s="50"/>
      <c r="L22" s="50"/>
      <c r="M22" s="50"/>
      <c r="N22" s="51"/>
      <c r="U22" s="48">
        <v>2</v>
      </c>
      <c r="V22" s="50"/>
      <c r="W22" s="50"/>
      <c r="X22" s="50"/>
      <c r="Y22" s="66"/>
      <c r="Z22" s="50" t="e">
        <f t="shared" si="8"/>
        <v>#DIV/0!</v>
      </c>
      <c r="AA22" s="50"/>
      <c r="AB22" s="50"/>
      <c r="AC22" s="50"/>
      <c r="AD22" s="50"/>
      <c r="AE22" s="50"/>
      <c r="AF22" s="50" t="e">
        <f t="shared" si="9"/>
        <v>#DIV/0!</v>
      </c>
      <c r="AG22" s="50"/>
      <c r="AH22" s="50"/>
      <c r="AI22" s="50"/>
      <c r="AJ22" s="51"/>
    </row>
    <row r="23" spans="2:36" x14ac:dyDescent="0.35">
      <c r="B23">
        <v>0.65827000000000002</v>
      </c>
      <c r="C23">
        <v>0.89359999999999995</v>
      </c>
      <c r="D23" s="68">
        <v>3.7789999999999997E-2</v>
      </c>
      <c r="E23" s="68">
        <v>2.784E-2</v>
      </c>
      <c r="F23" s="49"/>
      <c r="G23" s="49"/>
      <c r="H23" s="50"/>
      <c r="I23" s="50"/>
      <c r="J23" s="49"/>
      <c r="K23" s="50"/>
      <c r="L23" s="50"/>
      <c r="M23" s="50"/>
      <c r="N23" s="51"/>
      <c r="R23">
        <f>85*R19/R20</f>
        <v>340</v>
      </c>
      <c r="U23" s="48">
        <v>3</v>
      </c>
      <c r="V23" s="75">
        <v>92003</v>
      </c>
      <c r="W23" s="50">
        <v>1.1339999999999999</v>
      </c>
      <c r="X23" s="50"/>
      <c r="Y23" s="66">
        <v>-2.7965</v>
      </c>
      <c r="Z23" s="50">
        <f t="shared" si="8"/>
        <v>1.0131768196065376</v>
      </c>
      <c r="AA23" s="50"/>
      <c r="AB23" s="50"/>
      <c r="AC23" s="50"/>
      <c r="AD23" s="50"/>
      <c r="AE23" s="66"/>
      <c r="AF23" s="50" t="e">
        <f t="shared" si="9"/>
        <v>#DIV/0!</v>
      </c>
      <c r="AG23" s="50"/>
      <c r="AH23" s="50"/>
      <c r="AI23" s="50"/>
      <c r="AJ23" s="51"/>
    </row>
    <row r="24" spans="2:36" x14ac:dyDescent="0.35">
      <c r="B24">
        <v>0.70215000000000005</v>
      </c>
      <c r="C24">
        <v>0.90429999999999999</v>
      </c>
      <c r="D24" s="68">
        <v>3.1690000000000003E-2</v>
      </c>
      <c r="E24" s="68">
        <v>2.46E-2</v>
      </c>
      <c r="F24" s="49"/>
      <c r="G24" s="49"/>
      <c r="H24" s="50"/>
      <c r="I24" s="50"/>
      <c r="J24" s="49"/>
      <c r="K24" s="50"/>
      <c r="L24" s="50"/>
      <c r="M24" s="50"/>
      <c r="N24" s="51"/>
      <c r="U24" s="48">
        <v>4</v>
      </c>
      <c r="V24" s="50"/>
      <c r="W24" s="50"/>
      <c r="X24" s="50"/>
      <c r="Y24" s="66"/>
      <c r="Z24" s="50" t="e">
        <f t="shared" si="8"/>
        <v>#DIV/0!</v>
      </c>
      <c r="AA24" s="50"/>
      <c r="AB24" s="50"/>
      <c r="AC24" s="50"/>
      <c r="AD24" s="50"/>
      <c r="AE24" s="66"/>
      <c r="AF24" s="50" t="e">
        <f t="shared" si="9"/>
        <v>#DIV/0!</v>
      </c>
      <c r="AG24" s="50"/>
      <c r="AH24" s="50"/>
      <c r="AI24" s="50"/>
      <c r="AJ24" s="51"/>
    </row>
    <row r="25" spans="2:36" x14ac:dyDescent="0.35">
      <c r="B25">
        <v>0.74604000000000004</v>
      </c>
      <c r="C25">
        <v>0.90890000000000004</v>
      </c>
      <c r="D25" s="68">
        <v>2.5409999999999999E-2</v>
      </c>
      <c r="E25" s="68">
        <v>2.086E-2</v>
      </c>
      <c r="F25" s="49"/>
      <c r="G25" s="49"/>
      <c r="H25" s="50"/>
      <c r="I25" s="50"/>
      <c r="J25" s="49"/>
      <c r="K25" s="50"/>
      <c r="L25" s="50"/>
      <c r="M25" s="50"/>
      <c r="N25" s="51"/>
      <c r="U25" s="48">
        <v>5</v>
      </c>
      <c r="V25" s="50"/>
      <c r="W25" s="50"/>
      <c r="X25" s="50"/>
      <c r="Y25" s="50"/>
      <c r="Z25" s="50" t="e">
        <f t="shared" si="8"/>
        <v>#DIV/0!</v>
      </c>
      <c r="AA25" s="50"/>
      <c r="AB25" s="50"/>
      <c r="AC25" s="50"/>
      <c r="AD25" s="50"/>
      <c r="AE25" s="50"/>
      <c r="AF25" s="50" t="e">
        <f t="shared" si="9"/>
        <v>#DIV/0!</v>
      </c>
      <c r="AG25" s="50"/>
      <c r="AH25" s="50"/>
      <c r="AI25" s="50"/>
      <c r="AJ25" s="51"/>
    </row>
    <row r="26" spans="2:36" ht="15" thickBot="1" x14ac:dyDescent="0.4">
      <c r="B26">
        <v>0.78991999999999996</v>
      </c>
      <c r="C26">
        <v>0.90090000000000003</v>
      </c>
      <c r="D26" s="68">
        <v>1.8939999999999999E-2</v>
      </c>
      <c r="E26" s="68">
        <v>1.66E-2</v>
      </c>
      <c r="F26" s="49"/>
      <c r="G26" s="49"/>
      <c r="H26" s="50"/>
      <c r="I26" s="50"/>
      <c r="J26" s="50"/>
      <c r="K26" s="50"/>
      <c r="L26" s="50"/>
      <c r="M26" s="50"/>
      <c r="N26" s="51"/>
      <c r="U26" s="60">
        <v>6</v>
      </c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6"/>
    </row>
    <row r="27" spans="2:36" x14ac:dyDescent="0.35">
      <c r="B27">
        <v>0.83381000000000005</v>
      </c>
      <c r="C27">
        <v>0.86350000000000005</v>
      </c>
      <c r="D27" s="68">
        <v>1.225E-2</v>
      </c>
      <c r="E27" s="68">
        <v>1.183E-2</v>
      </c>
      <c r="F27" s="49"/>
      <c r="G27" s="49"/>
      <c r="H27" s="50"/>
      <c r="I27" s="50"/>
      <c r="J27" s="50"/>
      <c r="K27" s="50"/>
      <c r="L27" s="50"/>
      <c r="M27" s="50"/>
      <c r="N27" s="51"/>
    </row>
    <row r="28" spans="2:36" x14ac:dyDescent="0.35">
      <c r="B28">
        <v>0.87768999999999997</v>
      </c>
      <c r="C28">
        <v>0.72030000000000005</v>
      </c>
      <c r="D28" s="68">
        <v>5.3509999999999999E-3</v>
      </c>
      <c r="E28" s="68">
        <v>6.5199999999999998E-3</v>
      </c>
      <c r="F28" s="49"/>
      <c r="G28" s="49"/>
      <c r="H28" s="50"/>
      <c r="I28" s="50"/>
      <c r="J28" s="50"/>
      <c r="K28" s="50"/>
      <c r="L28" s="50"/>
      <c r="M28" s="50"/>
      <c r="N28" s="51"/>
    </row>
    <row r="29" spans="2:36" ht="15" thickBot="1" x14ac:dyDescent="0.4">
      <c r="D29" s="68"/>
      <c r="E29" s="68"/>
      <c r="F29" s="54"/>
      <c r="G29" s="54"/>
      <c r="H29" s="55"/>
      <c r="I29" s="55"/>
      <c r="J29" s="55"/>
      <c r="K29" s="55"/>
      <c r="L29" s="55"/>
      <c r="M29" s="55"/>
      <c r="N29" s="56"/>
    </row>
    <row r="30" spans="2:36" x14ac:dyDescent="0.35">
      <c r="D30" s="68"/>
      <c r="E30" s="68"/>
      <c r="F30" s="49"/>
      <c r="G30" s="49"/>
      <c r="H30" s="50"/>
      <c r="I30" s="50"/>
      <c r="J30" s="50"/>
      <c r="K30" s="50"/>
      <c r="L30" s="50"/>
      <c r="M30" s="50"/>
      <c r="N30" s="50"/>
    </row>
    <row r="31" spans="2:36" x14ac:dyDescent="0.35">
      <c r="D31" s="68"/>
      <c r="E31" s="68"/>
      <c r="F31" s="49"/>
      <c r="G31" s="49"/>
      <c r="H31" s="50"/>
      <c r="I31" s="50"/>
      <c r="J31" s="50"/>
      <c r="K31" s="50"/>
      <c r="L31" s="50"/>
      <c r="M31" s="50"/>
      <c r="N31" s="50"/>
    </row>
    <row r="32" spans="2:36" x14ac:dyDescent="0.35">
      <c r="D32" s="68"/>
      <c r="E32" s="68"/>
      <c r="F32" s="49"/>
      <c r="G32" s="49"/>
      <c r="H32" s="50"/>
      <c r="I32" s="50"/>
      <c r="J32" s="50"/>
      <c r="K32" s="50"/>
      <c r="L32" s="50"/>
      <c r="M32" s="50"/>
      <c r="N32" s="50"/>
    </row>
    <row r="33" spans="2:17" x14ac:dyDescent="0.35">
      <c r="D33" s="68"/>
      <c r="E33" s="68"/>
      <c r="F33" s="49"/>
      <c r="G33" s="49"/>
      <c r="H33" s="50"/>
      <c r="I33" s="50"/>
      <c r="J33" s="50"/>
      <c r="K33" s="50"/>
      <c r="L33" s="50"/>
      <c r="M33" s="50"/>
      <c r="N33" s="50"/>
    </row>
    <row r="34" spans="2:17" x14ac:dyDescent="0.35">
      <c r="D34" s="68"/>
      <c r="E34" s="68"/>
      <c r="F34" s="49"/>
      <c r="G34" s="49"/>
      <c r="H34" s="50"/>
      <c r="I34" s="50"/>
      <c r="J34" s="50"/>
      <c r="K34" s="50"/>
      <c r="L34" s="50"/>
      <c r="M34" s="50"/>
      <c r="N34" s="50"/>
    </row>
    <row r="35" spans="2:17" x14ac:dyDescent="0.35">
      <c r="B35" s="49"/>
      <c r="C35" s="49"/>
      <c r="D35" s="49"/>
      <c r="E35" s="49"/>
      <c r="F35" s="49"/>
      <c r="G35" s="49"/>
      <c r="H35" s="50"/>
      <c r="I35" s="50"/>
      <c r="J35" s="50"/>
      <c r="K35" s="50"/>
      <c r="L35" s="50"/>
      <c r="M35" s="50"/>
      <c r="N35" s="50"/>
    </row>
    <row r="36" spans="2:17" x14ac:dyDescent="0.35">
      <c r="B36" s="49"/>
      <c r="C36" s="49"/>
      <c r="D36" s="49"/>
      <c r="E36" s="49"/>
      <c r="F36" s="49"/>
      <c r="G36" s="49"/>
      <c r="H36" s="50"/>
      <c r="I36" s="50"/>
      <c r="J36" s="50"/>
      <c r="K36" s="50"/>
      <c r="L36" s="50"/>
      <c r="M36" s="50"/>
      <c r="N36" s="50"/>
    </row>
    <row r="37" spans="2:17" x14ac:dyDescent="0.35">
      <c r="B37" s="49"/>
      <c r="C37" s="49"/>
      <c r="D37" s="49"/>
      <c r="E37" s="49"/>
      <c r="F37" s="49"/>
      <c r="G37" s="49"/>
      <c r="H37" s="50"/>
      <c r="I37" s="50"/>
      <c r="J37" s="50"/>
      <c r="K37" s="50"/>
      <c r="L37" s="50"/>
      <c r="M37" s="50"/>
      <c r="N37" s="50"/>
    </row>
    <row r="38" spans="2:17" x14ac:dyDescent="0.35">
      <c r="B38" s="49"/>
      <c r="C38" s="49"/>
      <c r="D38" s="49"/>
      <c r="E38" s="49"/>
      <c r="F38" s="49"/>
      <c r="G38" s="49"/>
      <c r="H38" s="50"/>
      <c r="I38" s="50"/>
      <c r="J38" s="50"/>
      <c r="K38" s="50"/>
      <c r="L38" s="50"/>
      <c r="M38" s="50"/>
      <c r="N38" s="50"/>
    </row>
    <row r="39" spans="2:17" ht="15" thickBot="1" x14ac:dyDescent="0.4">
      <c r="F39" s="1"/>
      <c r="G39" s="1"/>
    </row>
    <row r="40" spans="2:17" x14ac:dyDescent="0.35">
      <c r="B40" s="45"/>
      <c r="C40" s="46">
        <v>1</v>
      </c>
      <c r="D40" s="46">
        <v>2</v>
      </c>
      <c r="E40" s="46">
        <v>3</v>
      </c>
      <c r="F40" s="46">
        <v>4</v>
      </c>
      <c r="G40" s="46">
        <v>5</v>
      </c>
      <c r="H40" s="46">
        <v>6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8" t="s">
        <v>62</v>
      </c>
      <c r="C41" s="50" t="s">
        <v>64</v>
      </c>
      <c r="D41" s="50" t="s">
        <v>65</v>
      </c>
      <c r="E41" s="50" t="s">
        <v>64</v>
      </c>
      <c r="F41" s="50" t="s">
        <v>66</v>
      </c>
      <c r="G41" s="50" t="s">
        <v>64</v>
      </c>
      <c r="H41" s="50" t="s">
        <v>64</v>
      </c>
      <c r="I41" s="50"/>
      <c r="J41" s="50"/>
      <c r="K41" s="50"/>
      <c r="L41" s="50"/>
      <c r="M41" s="50"/>
      <c r="N41" s="50"/>
      <c r="O41" s="50"/>
      <c r="P41" s="50"/>
      <c r="Q41" s="51"/>
    </row>
    <row r="42" spans="2:17" x14ac:dyDescent="0.35">
      <c r="B42" s="48">
        <v>3.7100000000000001E-2</v>
      </c>
      <c r="C42" s="50">
        <v>19940</v>
      </c>
      <c r="D42" s="50">
        <v>27915</v>
      </c>
      <c r="E42" s="50">
        <v>37619</v>
      </c>
      <c r="F42" s="50">
        <v>48020</v>
      </c>
      <c r="G42" s="50">
        <v>59317</v>
      </c>
      <c r="H42" s="50">
        <v>70660</v>
      </c>
      <c r="I42" s="50"/>
      <c r="J42" s="50"/>
      <c r="K42" s="50"/>
      <c r="L42" s="50"/>
      <c r="M42" s="50"/>
      <c r="N42" s="50"/>
      <c r="O42" s="50"/>
      <c r="P42" s="50"/>
      <c r="Q42" s="51"/>
    </row>
    <row r="43" spans="2:17" x14ac:dyDescent="0.35">
      <c r="B43" s="48">
        <v>4.3799999999999999E-2</v>
      </c>
      <c r="C43" s="50">
        <v>25545</v>
      </c>
      <c r="D43" s="50">
        <v>33878</v>
      </c>
      <c r="E43" s="50">
        <v>44415</v>
      </c>
      <c r="F43" s="50">
        <v>55931</v>
      </c>
      <c r="G43" s="50">
        <v>68814</v>
      </c>
      <c r="H43" s="50">
        <v>81767</v>
      </c>
      <c r="I43" s="50"/>
      <c r="J43" s="50"/>
      <c r="K43" s="50"/>
      <c r="L43" s="50"/>
      <c r="M43" s="50"/>
      <c r="N43" s="50"/>
      <c r="O43" s="50"/>
      <c r="P43" s="50"/>
      <c r="Q43" s="51"/>
    </row>
    <row r="44" spans="2:17" x14ac:dyDescent="0.35">
      <c r="B44" s="48">
        <v>5.04E-2</v>
      </c>
      <c r="C44" s="50">
        <v>31606</v>
      </c>
      <c r="D44" s="50">
        <v>40106</v>
      </c>
      <c r="E44" s="50">
        <v>51222</v>
      </c>
      <c r="F44" s="50">
        <v>63607</v>
      </c>
      <c r="G44" s="50">
        <v>77927</v>
      </c>
      <c r="H44" s="50">
        <v>92344</v>
      </c>
      <c r="I44" s="50"/>
      <c r="J44" s="50"/>
      <c r="K44" s="50"/>
      <c r="L44" s="50"/>
      <c r="M44" s="50"/>
      <c r="N44" s="50"/>
      <c r="O44" s="50"/>
      <c r="P44" s="50"/>
      <c r="Q44" s="51"/>
    </row>
    <row r="45" spans="2:17" x14ac:dyDescent="0.35">
      <c r="B45" s="48">
        <v>5.7099999999999998E-2</v>
      </c>
      <c r="C45" s="50">
        <v>38001</v>
      </c>
      <c r="D45" s="50">
        <v>46524</v>
      </c>
      <c r="E45" s="50">
        <v>57997</v>
      </c>
      <c r="F45" s="50">
        <v>71021</v>
      </c>
      <c r="G45" s="50">
        <v>86627</v>
      </c>
      <c r="H45" s="50">
        <v>102359</v>
      </c>
      <c r="I45" s="50"/>
      <c r="J45" s="50"/>
      <c r="K45" s="50"/>
      <c r="L45" s="50"/>
      <c r="M45" s="50"/>
      <c r="N45" s="50"/>
      <c r="O45" s="50"/>
      <c r="P45" s="50"/>
      <c r="Q45" s="51"/>
    </row>
    <row r="46" spans="2:17" x14ac:dyDescent="0.35">
      <c r="B46" s="48">
        <v>6.3700000000000007E-2</v>
      </c>
      <c r="C46" s="50">
        <v>44541</v>
      </c>
      <c r="D46" s="50">
        <v>52967</v>
      </c>
      <c r="E46" s="50">
        <v>64594</v>
      </c>
      <c r="F46" s="50">
        <v>78023</v>
      </c>
      <c r="G46" s="50">
        <v>94743</v>
      </c>
      <c r="H46" s="50">
        <v>111620</v>
      </c>
      <c r="I46" s="50"/>
      <c r="J46" s="50"/>
      <c r="K46" s="50"/>
      <c r="L46" s="50"/>
      <c r="M46" s="50"/>
      <c r="N46" s="50"/>
      <c r="O46" s="50"/>
      <c r="P46" s="50"/>
      <c r="Q46" s="51"/>
    </row>
    <row r="47" spans="2:17" x14ac:dyDescent="0.35">
      <c r="B47" s="48">
        <v>7.0400000000000004E-2</v>
      </c>
      <c r="C47" s="50">
        <v>50989</v>
      </c>
      <c r="D47" s="50">
        <v>59211</v>
      </c>
      <c r="E47" s="50">
        <v>70798</v>
      </c>
      <c r="F47" s="50">
        <v>84400</v>
      </c>
      <c r="G47" s="50">
        <v>102031</v>
      </c>
      <c r="H47" s="50">
        <v>119847</v>
      </c>
      <c r="I47" s="50"/>
      <c r="J47" s="50"/>
      <c r="K47" s="50"/>
      <c r="L47" s="50"/>
      <c r="M47" s="50"/>
      <c r="N47" s="50"/>
      <c r="O47" s="50"/>
      <c r="P47" s="50"/>
      <c r="Q47" s="51"/>
    </row>
    <row r="48" spans="2:17" x14ac:dyDescent="0.35">
      <c r="B48" s="48">
        <v>7.6999999999999999E-2</v>
      </c>
      <c r="C48" s="50">
        <v>57132</v>
      </c>
      <c r="D48" s="50">
        <v>65063</v>
      </c>
      <c r="E48" s="50">
        <v>76441</v>
      </c>
      <c r="F48" s="50">
        <v>89997</v>
      </c>
      <c r="G48" s="50">
        <v>108322</v>
      </c>
      <c r="H48" s="50">
        <v>126858</v>
      </c>
      <c r="I48" s="50"/>
      <c r="J48" s="50"/>
      <c r="K48" s="50"/>
      <c r="L48" s="50"/>
      <c r="M48" s="50"/>
      <c r="N48" s="50"/>
      <c r="O48" s="50"/>
      <c r="P48" s="50"/>
      <c r="Q48" s="51"/>
    </row>
    <row r="49" spans="2:17" x14ac:dyDescent="0.35">
      <c r="B49" s="48">
        <v>8.3699999999999997E-2</v>
      </c>
      <c r="C49" s="50">
        <v>62876</v>
      </c>
      <c r="D49" s="50">
        <v>70457</v>
      </c>
      <c r="E49" s="50">
        <v>81500</v>
      </c>
      <c r="F49" s="50">
        <v>94836</v>
      </c>
      <c r="G49" s="50">
        <v>113663</v>
      </c>
      <c r="H49" s="50">
        <v>132724</v>
      </c>
      <c r="I49" s="50"/>
      <c r="J49" s="50"/>
      <c r="K49" s="50"/>
      <c r="L49" s="50"/>
      <c r="M49" s="50"/>
      <c r="N49" s="50"/>
      <c r="O49" s="50"/>
      <c r="P49" s="50"/>
      <c r="Q49" s="51"/>
    </row>
    <row r="50" spans="2:17" x14ac:dyDescent="0.35">
      <c r="B50" s="48">
        <v>9.0300000000000005E-2</v>
      </c>
      <c r="C50" s="50">
        <v>68166</v>
      </c>
      <c r="D50" s="50">
        <v>75362</v>
      </c>
      <c r="E50" s="50">
        <v>85983</v>
      </c>
      <c r="F50" s="50">
        <v>98966</v>
      </c>
      <c r="G50" s="50">
        <v>118130</v>
      </c>
      <c r="H50" s="50">
        <v>137547</v>
      </c>
      <c r="I50" s="50"/>
      <c r="J50" s="50"/>
      <c r="K50" s="50"/>
      <c r="L50" s="50"/>
      <c r="M50" s="50"/>
      <c r="N50" s="50"/>
      <c r="O50" s="50"/>
      <c r="P50" s="50"/>
      <c r="Q50" s="51"/>
    </row>
    <row r="51" spans="2:17" x14ac:dyDescent="0.35">
      <c r="B51" s="48">
        <v>9.7000000000000003E-2</v>
      </c>
      <c r="C51" s="50">
        <v>72939</v>
      </c>
      <c r="D51" s="50">
        <v>79732</v>
      </c>
      <c r="E51" s="50">
        <v>89869</v>
      </c>
      <c r="F51" s="50">
        <v>102399</v>
      </c>
      <c r="G51" s="50">
        <v>121753</v>
      </c>
      <c r="H51" s="50">
        <v>141374</v>
      </c>
      <c r="I51" s="50"/>
      <c r="J51" s="50"/>
      <c r="K51" s="50"/>
      <c r="L51" s="50"/>
      <c r="M51" s="50"/>
      <c r="N51" s="50"/>
      <c r="O51" s="50"/>
      <c r="P51" s="50"/>
      <c r="Q51" s="51"/>
    </row>
    <row r="52" spans="2:17" x14ac:dyDescent="0.35">
      <c r="B52" s="48">
        <v>0.1036</v>
      </c>
      <c r="C52" s="50">
        <v>77129</v>
      </c>
      <c r="D52" s="50">
        <v>83508</v>
      </c>
      <c r="E52" s="50">
        <v>93118</v>
      </c>
      <c r="F52" s="50">
        <v>105117</v>
      </c>
      <c r="G52" s="50">
        <v>124526</v>
      </c>
      <c r="H52" s="50">
        <v>144211</v>
      </c>
      <c r="I52" s="50"/>
      <c r="J52" s="50"/>
      <c r="K52" s="50"/>
      <c r="L52" s="50"/>
      <c r="M52" s="50"/>
      <c r="N52" s="50"/>
      <c r="O52" s="50"/>
      <c r="P52" s="50"/>
      <c r="Q52" s="51"/>
    </row>
    <row r="53" spans="2:17" x14ac:dyDescent="0.35">
      <c r="B53" s="48">
        <v>0.1103</v>
      </c>
      <c r="C53" s="50">
        <v>80682</v>
      </c>
      <c r="D53" s="50">
        <v>86644</v>
      </c>
      <c r="E53" s="50">
        <v>95700</v>
      </c>
      <c r="F53" s="50">
        <v>107110</v>
      </c>
      <c r="G53" s="50">
        <v>126446</v>
      </c>
      <c r="H53" s="50">
        <v>146066</v>
      </c>
      <c r="I53" s="50"/>
      <c r="J53" s="50"/>
      <c r="K53" s="50"/>
      <c r="L53" s="50"/>
      <c r="M53" s="50"/>
      <c r="N53" s="50"/>
      <c r="O53" s="50"/>
      <c r="P53" s="50"/>
      <c r="Q53" s="51"/>
    </row>
    <row r="54" spans="2:17" x14ac:dyDescent="0.35">
      <c r="B54" s="48">
        <v>0.1169</v>
      </c>
      <c r="C54" s="50">
        <v>83565</v>
      </c>
      <c r="D54" s="50">
        <v>89112</v>
      </c>
      <c r="E54" s="50">
        <v>97599</v>
      </c>
      <c r="F54" s="50">
        <v>108381</v>
      </c>
      <c r="G54" s="50">
        <v>127529</v>
      </c>
      <c r="H54" s="50">
        <v>146964</v>
      </c>
      <c r="I54" s="50"/>
      <c r="J54" s="50"/>
      <c r="K54" s="50"/>
      <c r="L54" s="50"/>
      <c r="M54" s="50"/>
      <c r="N54" s="50"/>
      <c r="O54" s="50"/>
      <c r="P54" s="50"/>
      <c r="Q54" s="51"/>
    </row>
    <row r="55" spans="2:17" x14ac:dyDescent="0.35">
      <c r="B55" s="48">
        <v>0.1235</v>
      </c>
      <c r="C55" s="50">
        <v>85760</v>
      </c>
      <c r="D55" s="50">
        <v>90900</v>
      </c>
      <c r="E55" s="50">
        <v>98814</v>
      </c>
      <c r="F55" s="50">
        <v>108942</v>
      </c>
      <c r="G55" s="50">
        <v>127799</v>
      </c>
      <c r="H55" s="50">
        <v>146940</v>
      </c>
      <c r="I55" s="50"/>
      <c r="J55" s="50"/>
      <c r="K55" s="50"/>
      <c r="L55" s="50"/>
      <c r="M55" s="50"/>
      <c r="N55" s="50"/>
      <c r="O55" s="50"/>
      <c r="P55" s="50"/>
      <c r="Q55" s="51"/>
    </row>
    <row r="56" spans="2:17" x14ac:dyDescent="0.35">
      <c r="B56" s="48">
        <v>0.13020000000000001</v>
      </c>
      <c r="C56" s="50">
        <v>87219</v>
      </c>
      <c r="D56" s="50">
        <v>91960</v>
      </c>
      <c r="E56" s="50">
        <v>99302</v>
      </c>
      <c r="F56" s="50">
        <v>108759</v>
      </c>
      <c r="G56" s="50">
        <v>127221</v>
      </c>
      <c r="H56" s="50">
        <v>145963</v>
      </c>
      <c r="I56" s="50"/>
      <c r="J56" s="50"/>
      <c r="K56" s="50"/>
      <c r="L56" s="50"/>
      <c r="M56" s="50"/>
      <c r="N56" s="50"/>
      <c r="O56" s="50"/>
      <c r="P56" s="50"/>
      <c r="Q56" s="51"/>
    </row>
    <row r="57" spans="2:17" x14ac:dyDescent="0.35">
      <c r="B57" s="48">
        <v>0.1368</v>
      </c>
      <c r="C57" s="50">
        <v>87823</v>
      </c>
      <c r="D57" s="50">
        <v>92172</v>
      </c>
      <c r="E57" s="50">
        <v>98939</v>
      </c>
      <c r="F57" s="50">
        <v>107710</v>
      </c>
      <c r="G57" s="50">
        <v>125658</v>
      </c>
      <c r="H57" s="50">
        <v>143879</v>
      </c>
      <c r="I57" s="50"/>
      <c r="J57" s="50"/>
      <c r="K57" s="50"/>
      <c r="L57" s="50"/>
      <c r="M57" s="50"/>
      <c r="N57" s="50"/>
      <c r="O57" s="50"/>
      <c r="P57" s="50"/>
      <c r="Q57" s="51"/>
    </row>
    <row r="58" spans="2:17" x14ac:dyDescent="0.35">
      <c r="B58" s="48">
        <v>0.14349999999999999</v>
      </c>
      <c r="C58" s="50">
        <v>87452</v>
      </c>
      <c r="D58" s="50">
        <v>91411</v>
      </c>
      <c r="E58" s="50">
        <v>97600</v>
      </c>
      <c r="F58" s="50">
        <v>105666</v>
      </c>
      <c r="G58" s="50">
        <v>122969</v>
      </c>
      <c r="H58" s="50">
        <v>140533</v>
      </c>
      <c r="I58" s="50"/>
      <c r="J58" s="50"/>
      <c r="K58" s="50"/>
      <c r="L58" s="50"/>
      <c r="M58" s="50"/>
      <c r="N58" s="50"/>
      <c r="O58" s="50"/>
      <c r="P58" s="50"/>
      <c r="Q58" s="51"/>
    </row>
    <row r="59" spans="2:17" x14ac:dyDescent="0.35">
      <c r="B59" s="48">
        <v>0.15010000000000001</v>
      </c>
      <c r="C59" s="50">
        <v>86073</v>
      </c>
      <c r="D59" s="50">
        <v>89648</v>
      </c>
      <c r="E59" s="50">
        <v>95261</v>
      </c>
      <c r="F59" s="50">
        <v>102611</v>
      </c>
      <c r="G59" s="50">
        <v>119139</v>
      </c>
      <c r="H59" s="50">
        <v>135914</v>
      </c>
      <c r="I59" s="50"/>
      <c r="J59" s="50"/>
      <c r="K59" s="50"/>
      <c r="L59" s="50"/>
      <c r="M59" s="50"/>
      <c r="N59" s="50"/>
      <c r="O59" s="50"/>
      <c r="P59" s="50"/>
      <c r="Q59" s="51"/>
    </row>
    <row r="60" spans="2:17" x14ac:dyDescent="0.35">
      <c r="B60" s="48">
        <v>0.15679999999999999</v>
      </c>
      <c r="C60" s="50">
        <v>83721</v>
      </c>
      <c r="D60" s="50">
        <v>86922</v>
      </c>
      <c r="E60" s="50">
        <v>91967</v>
      </c>
      <c r="F60" s="50">
        <v>98603</v>
      </c>
      <c r="G60" s="50">
        <v>114240</v>
      </c>
      <c r="H60" s="50">
        <v>130108</v>
      </c>
      <c r="I60" s="50"/>
      <c r="J60" s="50"/>
      <c r="K60" s="50"/>
      <c r="L60" s="50"/>
      <c r="M60" s="50"/>
      <c r="N60" s="50"/>
      <c r="O60" s="50"/>
      <c r="P60" s="50"/>
      <c r="Q60" s="51"/>
    </row>
    <row r="61" spans="2:17" x14ac:dyDescent="0.35">
      <c r="B61" s="48">
        <v>0.16339999999999999</v>
      </c>
      <c r="C61" s="50">
        <v>80335</v>
      </c>
      <c r="D61" s="50">
        <v>83172</v>
      </c>
      <c r="E61" s="50">
        <v>87657</v>
      </c>
      <c r="F61" s="50">
        <v>93582</v>
      </c>
      <c r="G61" s="50">
        <v>108207</v>
      </c>
      <c r="H61" s="50">
        <v>123044</v>
      </c>
      <c r="I61" s="50"/>
      <c r="J61" s="50"/>
      <c r="K61" s="50"/>
      <c r="L61" s="50"/>
      <c r="M61" s="50"/>
      <c r="N61" s="50"/>
      <c r="O61" s="50"/>
      <c r="P61" s="50"/>
      <c r="Q61" s="51"/>
    </row>
    <row r="62" spans="2:17" x14ac:dyDescent="0.35">
      <c r="B62" s="48">
        <v>0.1701</v>
      </c>
      <c r="C62" s="50">
        <v>75478</v>
      </c>
      <c r="D62" s="50">
        <v>77946</v>
      </c>
      <c r="E62" s="50">
        <v>81861</v>
      </c>
      <c r="F62" s="50">
        <v>87052</v>
      </c>
      <c r="G62" s="50">
        <v>100470</v>
      </c>
      <c r="H62" s="50">
        <v>114079</v>
      </c>
      <c r="I62" s="50"/>
      <c r="J62" s="50"/>
      <c r="K62" s="50"/>
      <c r="L62" s="50"/>
      <c r="M62" s="50"/>
      <c r="N62" s="50"/>
      <c r="O62" s="50"/>
      <c r="P62" s="50"/>
      <c r="Q62" s="51"/>
    </row>
    <row r="63" spans="2:17" x14ac:dyDescent="0.35">
      <c r="B63" s="48">
        <v>0.1767</v>
      </c>
      <c r="C63" s="50">
        <v>68589</v>
      </c>
      <c r="D63" s="50">
        <v>70671</v>
      </c>
      <c r="E63" s="50">
        <v>73984</v>
      </c>
      <c r="F63" s="50">
        <v>78392</v>
      </c>
      <c r="G63" s="50">
        <v>90319</v>
      </c>
      <c r="H63" s="50">
        <v>102413</v>
      </c>
      <c r="I63" s="50"/>
      <c r="J63" s="50"/>
      <c r="K63" s="50"/>
      <c r="L63" s="50"/>
      <c r="M63" s="50"/>
      <c r="N63" s="50"/>
      <c r="O63" s="50"/>
      <c r="P63" s="50"/>
      <c r="Q63" s="51"/>
    </row>
    <row r="64" spans="2:17" x14ac:dyDescent="0.35">
      <c r="B64" s="48">
        <v>0.18340000000000001</v>
      </c>
      <c r="C64" s="50">
        <v>59318</v>
      </c>
      <c r="D64" s="50">
        <v>60993</v>
      </c>
      <c r="E64" s="50">
        <v>63667</v>
      </c>
      <c r="F64" s="50">
        <v>67236</v>
      </c>
      <c r="G64" s="50">
        <v>77342</v>
      </c>
      <c r="H64" s="50">
        <v>87585</v>
      </c>
      <c r="I64" s="50"/>
      <c r="J64" s="50"/>
      <c r="K64" s="50"/>
      <c r="L64" s="50"/>
      <c r="M64" s="50"/>
      <c r="N64" s="50"/>
      <c r="O64" s="50"/>
      <c r="P64" s="50"/>
      <c r="Q64" s="51"/>
    </row>
    <row r="65" spans="2:17" x14ac:dyDescent="0.35">
      <c r="B65" s="48">
        <v>0.19</v>
      </c>
      <c r="C65" s="50">
        <v>47617</v>
      </c>
      <c r="D65" s="50">
        <v>48872</v>
      </c>
      <c r="E65" s="50">
        <v>50879</v>
      </c>
      <c r="F65" s="50">
        <v>53568</v>
      </c>
      <c r="G65" s="50">
        <v>61526</v>
      </c>
      <c r="H65" s="50">
        <v>69592</v>
      </c>
      <c r="I65" s="50"/>
      <c r="J65" s="50"/>
      <c r="K65" s="50"/>
      <c r="L65" s="50"/>
      <c r="M65" s="50"/>
      <c r="N65" s="50"/>
      <c r="O65" s="50"/>
      <c r="P65" s="50"/>
      <c r="Q65" s="51"/>
    </row>
    <row r="66" spans="2:17" ht="15" thickBot="1" x14ac:dyDescent="0.4">
      <c r="B66" s="60">
        <v>0.19670000000000001</v>
      </c>
      <c r="C66" s="55">
        <v>33458</v>
      </c>
      <c r="D66" s="55">
        <v>34285</v>
      </c>
      <c r="E66" s="55">
        <v>35609</v>
      </c>
      <c r="F66" s="55">
        <v>37388</v>
      </c>
      <c r="G66" s="55">
        <v>42884</v>
      </c>
      <c r="H66" s="55">
        <v>48451</v>
      </c>
      <c r="I66" s="55"/>
      <c r="J66" s="55"/>
      <c r="K66" s="55"/>
      <c r="L66" s="55"/>
      <c r="M66" s="55"/>
      <c r="N66" s="55"/>
      <c r="O66" s="55"/>
      <c r="P66" s="55"/>
      <c r="Q66" s="5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AJ66"/>
  <sheetViews>
    <sheetView zoomScaleNormal="100" workbookViewId="0">
      <selection activeCell="I6" sqref="I6:N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5" t="s">
        <v>114</v>
      </c>
      <c r="C1" s="46"/>
      <c r="D1" s="46"/>
      <c r="E1" s="46"/>
      <c r="F1" s="46"/>
      <c r="G1" s="46"/>
      <c r="H1" s="46" t="s">
        <v>38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14</v>
      </c>
      <c r="N1" s="47" t="s">
        <v>16</v>
      </c>
      <c r="P1" s="45" t="s">
        <v>104</v>
      </c>
      <c r="Q1" s="46"/>
      <c r="R1" s="46"/>
      <c r="S1" s="47"/>
      <c r="U1" s="45" t="s">
        <v>67</v>
      </c>
      <c r="V1" s="46"/>
      <c r="W1" s="46" t="s">
        <v>68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</row>
    <row r="2" spans="2:36" x14ac:dyDescent="0.35">
      <c r="B2" s="48" t="s">
        <v>21</v>
      </c>
      <c r="C2" s="49">
        <v>0.34</v>
      </c>
      <c r="D2" s="50"/>
      <c r="E2" s="50"/>
      <c r="F2" s="50"/>
      <c r="G2" s="50"/>
      <c r="H2" s="50" t="s">
        <v>60</v>
      </c>
      <c r="I2" s="50">
        <f t="array" ref="I2:N2">LINEST($C$8:$C$28,$B$8:$B$28^{1,2,3,4,5})</f>
        <v>-25.241966183708602</v>
      </c>
      <c r="J2" s="50">
        <v>52.583154094137342</v>
      </c>
      <c r="K2" s="50">
        <v>-41.360061280758806</v>
      </c>
      <c r="L2" s="50">
        <v>13.493483225478144</v>
      </c>
      <c r="M2" s="50">
        <v>0.15660012336426196</v>
      </c>
      <c r="N2" s="51">
        <v>1.3741380596653752E-2</v>
      </c>
      <c r="P2" s="52" t="s">
        <v>110</v>
      </c>
      <c r="Q2" s="49" t="s">
        <v>111</v>
      </c>
      <c r="R2" s="49" t="s">
        <v>83</v>
      </c>
      <c r="S2" s="51"/>
      <c r="U2" s="48" t="s">
        <v>74</v>
      </c>
      <c r="V2" s="50">
        <v>20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1"/>
    </row>
    <row r="3" spans="2:36" x14ac:dyDescent="0.35">
      <c r="B3" s="48" t="s">
        <v>34</v>
      </c>
      <c r="C3" s="49">
        <f>B25</f>
        <v>0.74189000000000005</v>
      </c>
      <c r="D3" s="50"/>
      <c r="E3" s="50"/>
      <c r="F3" s="50"/>
      <c r="G3" s="50"/>
      <c r="H3" s="50"/>
      <c r="I3" s="50" t="s">
        <v>7</v>
      </c>
      <c r="J3" s="50" t="s">
        <v>8</v>
      </c>
      <c r="K3" s="50" t="s">
        <v>9</v>
      </c>
      <c r="L3" s="50" t="s">
        <v>10</v>
      </c>
      <c r="M3" s="50" t="s">
        <v>14</v>
      </c>
      <c r="N3" s="51" t="s">
        <v>16</v>
      </c>
      <c r="P3" s="69"/>
      <c r="Q3" s="65"/>
      <c r="R3" s="65"/>
      <c r="S3" s="51"/>
      <c r="U3" s="48" t="s">
        <v>69</v>
      </c>
      <c r="V3" s="61">
        <f>133.332*EXP(20.386-5132/($V$2+273.15))</f>
        <v>2374.2721715276289</v>
      </c>
      <c r="W3" s="61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1"/>
    </row>
    <row r="4" spans="2:36" x14ac:dyDescent="0.35">
      <c r="B4" s="48" t="s">
        <v>39</v>
      </c>
      <c r="C4" s="49">
        <f>B28</f>
        <v>0.87280999999999997</v>
      </c>
      <c r="D4" s="50"/>
      <c r="E4" s="50"/>
      <c r="F4" s="50"/>
      <c r="G4" s="50"/>
      <c r="H4" s="50" t="s">
        <v>51</v>
      </c>
      <c r="I4" s="50">
        <f t="array" ref="I4:N4">LINEST($E$8:$E$28,$B$8:$B$28^{1,2,3,4,5})</f>
        <v>1.405744572431169</v>
      </c>
      <c r="J4" s="50">
        <v>-2.9980190901775012</v>
      </c>
      <c r="K4" s="50">
        <v>1.9918228048168087</v>
      </c>
      <c r="L4" s="50">
        <v>-0.4300677932520533</v>
      </c>
      <c r="M4" s="50">
        <v>1.8434948302095598E-2</v>
      </c>
      <c r="N4" s="51">
        <v>1.9892587887795993E-2</v>
      </c>
      <c r="P4" s="69"/>
      <c r="Q4" s="65"/>
      <c r="R4" s="65"/>
      <c r="S4" s="51"/>
      <c r="U4" s="48" t="s">
        <v>73</v>
      </c>
      <c r="V4" s="50">
        <f>101325+$V$5*$V$7*$V$6</f>
        <v>105345.7265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</row>
    <row r="5" spans="2:36" x14ac:dyDescent="0.35">
      <c r="B5" s="48" t="s">
        <v>24</v>
      </c>
      <c r="C5" s="50">
        <f>LARGE(C8:C33,1)</f>
        <v>0.91269999999999996</v>
      </c>
      <c r="D5" s="50"/>
      <c r="E5" s="50"/>
      <c r="F5" s="50"/>
      <c r="G5" s="50"/>
      <c r="H5" s="50"/>
      <c r="I5" s="50" t="s">
        <v>7</v>
      </c>
      <c r="J5" s="50" t="s">
        <v>8</v>
      </c>
      <c r="K5" s="50" t="s">
        <v>9</v>
      </c>
      <c r="L5" s="50" t="s">
        <v>10</v>
      </c>
      <c r="M5" s="50" t="s">
        <v>14</v>
      </c>
      <c r="N5" s="51" t="s">
        <v>16</v>
      </c>
      <c r="P5" s="69"/>
      <c r="Q5" s="65"/>
      <c r="R5" s="65"/>
      <c r="S5" s="51"/>
      <c r="U5" s="48" t="s">
        <v>72</v>
      </c>
      <c r="V5" s="50">
        <v>1025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9"/>
    </row>
    <row r="6" spans="2:36" x14ac:dyDescent="0.35">
      <c r="B6" s="48"/>
      <c r="C6" s="50"/>
      <c r="D6" s="50"/>
      <c r="E6" s="50"/>
      <c r="F6" s="50"/>
      <c r="G6" s="50"/>
      <c r="H6" s="50" t="s">
        <v>52</v>
      </c>
      <c r="I6" s="50">
        <f t="array" ref="I6:N6">LINEST($D$8:$D$28,$B$8:$B$28^{1,2,3,4,5})</f>
        <v>1.9318213235026898</v>
      </c>
      <c r="J6" s="50">
        <v>-3.7874100037770595</v>
      </c>
      <c r="K6" s="50">
        <v>2.2226076332602598</v>
      </c>
      <c r="L6" s="50">
        <v>-0.41296048536987873</v>
      </c>
      <c r="M6" s="50">
        <v>4.0586187450867894E-2</v>
      </c>
      <c r="N6" s="51">
        <v>2.4847966502006741E-2</v>
      </c>
      <c r="P6" s="69"/>
      <c r="Q6" s="65"/>
      <c r="R6" s="65"/>
      <c r="S6" s="51"/>
      <c r="U6" s="48" t="s">
        <v>70</v>
      </c>
      <c r="V6" s="50">
        <v>0.4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9"/>
    </row>
    <row r="7" spans="2:36" x14ac:dyDescent="0.35">
      <c r="B7" s="48" t="s">
        <v>0</v>
      </c>
      <c r="C7" s="50" t="s">
        <v>15</v>
      </c>
      <c r="D7" s="50" t="s">
        <v>50</v>
      </c>
      <c r="E7" s="50" t="s">
        <v>49</v>
      </c>
      <c r="F7" s="50"/>
      <c r="G7" s="50"/>
      <c r="H7" s="50"/>
      <c r="I7" s="50"/>
      <c r="J7" s="50"/>
      <c r="K7" s="50"/>
      <c r="L7" s="50"/>
      <c r="M7" s="50"/>
      <c r="N7" s="51"/>
      <c r="P7" s="69"/>
      <c r="Q7" s="65"/>
      <c r="R7" s="65"/>
      <c r="S7" s="51"/>
      <c r="U7" s="48" t="s">
        <v>71</v>
      </c>
      <c r="V7" s="50">
        <v>9.8066499999999994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x14ac:dyDescent="0.35">
      <c r="B8">
        <v>0</v>
      </c>
      <c r="C8">
        <v>0</v>
      </c>
      <c r="D8" s="68">
        <v>2.5219999999999999E-2</v>
      </c>
      <c r="E8" s="68">
        <v>2.0240000000000001E-2</v>
      </c>
      <c r="F8" s="50"/>
      <c r="G8" s="50"/>
      <c r="H8" s="50"/>
      <c r="I8" s="50"/>
      <c r="J8" s="50"/>
      <c r="K8" s="50"/>
      <c r="L8" s="50"/>
      <c r="M8" s="50"/>
      <c r="N8" s="51"/>
      <c r="P8" s="69"/>
      <c r="Q8" s="65"/>
      <c r="R8" s="65"/>
      <c r="S8" s="51"/>
      <c r="U8" s="48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1"/>
    </row>
    <row r="9" spans="2:36" x14ac:dyDescent="0.35">
      <c r="B9">
        <v>4.3639999999999998E-2</v>
      </c>
      <c r="C9">
        <v>5.6800000000000003E-2</v>
      </c>
      <c r="D9" s="68">
        <v>2.5489999999999999E-2</v>
      </c>
      <c r="E9" s="68">
        <v>1.959E-2</v>
      </c>
      <c r="F9" s="50"/>
      <c r="G9" s="50"/>
      <c r="H9" s="50"/>
      <c r="I9" s="50"/>
      <c r="J9" s="50"/>
      <c r="K9" s="50"/>
      <c r="L9" s="50"/>
      <c r="M9" s="50"/>
      <c r="N9" s="51"/>
      <c r="P9" s="69"/>
      <c r="Q9" s="65"/>
      <c r="R9" s="65"/>
      <c r="S9" s="51"/>
      <c r="U9" s="48"/>
      <c r="V9" s="50"/>
      <c r="W9" s="50"/>
      <c r="X9" s="50"/>
      <c r="Y9" s="50" t="s">
        <v>109</v>
      </c>
      <c r="Z9" s="50">
        <v>0.17</v>
      </c>
      <c r="AA9" s="50"/>
      <c r="AB9" s="50"/>
      <c r="AC9" s="50"/>
      <c r="AD9" s="50"/>
      <c r="AE9" s="50"/>
      <c r="AF9" s="50"/>
      <c r="AG9" s="50"/>
      <c r="AH9" s="50"/>
      <c r="AI9" s="50"/>
      <c r="AJ9" s="51"/>
    </row>
    <row r="10" spans="2:36" x14ac:dyDescent="0.35">
      <c r="B10">
        <v>8.7279999999999996E-2</v>
      </c>
      <c r="C10">
        <v>0.1198</v>
      </c>
      <c r="D10" s="68">
        <v>2.6089999999999999E-2</v>
      </c>
      <c r="E10" s="68">
        <v>1.9E-2</v>
      </c>
      <c r="F10" s="49"/>
      <c r="G10" s="49"/>
      <c r="H10" s="50"/>
      <c r="I10" s="50"/>
      <c r="J10" s="49"/>
      <c r="K10" s="50"/>
      <c r="L10" s="50"/>
      <c r="M10" s="50"/>
      <c r="N10" s="51"/>
      <c r="P10" s="69"/>
      <c r="Q10" s="65"/>
      <c r="R10" s="65"/>
      <c r="S10" s="59"/>
      <c r="T10" t="s">
        <v>6</v>
      </c>
      <c r="U10" s="48" t="s">
        <v>77</v>
      </c>
      <c r="V10" s="50" t="s">
        <v>78</v>
      </c>
      <c r="W10" s="50" t="s">
        <v>79</v>
      </c>
      <c r="X10" s="50" t="s">
        <v>80</v>
      </c>
      <c r="Y10" s="50" t="s">
        <v>76</v>
      </c>
      <c r="Z10" s="50" t="s">
        <v>86</v>
      </c>
      <c r="AA10" s="50" t="s">
        <v>87</v>
      </c>
      <c r="AB10" s="50" t="s">
        <v>76</v>
      </c>
      <c r="AC10" s="50"/>
      <c r="AD10" s="50"/>
      <c r="AE10" s="50"/>
      <c r="AF10" s="50"/>
      <c r="AG10" s="50"/>
      <c r="AH10" s="50"/>
      <c r="AI10" s="50"/>
      <c r="AJ10" s="51"/>
    </row>
    <row r="11" spans="2:36" x14ac:dyDescent="0.35">
      <c r="B11">
        <v>0.13092000000000001</v>
      </c>
      <c r="C11">
        <v>0.1908</v>
      </c>
      <c r="D11" s="68">
        <v>2.708E-2</v>
      </c>
      <c r="E11" s="68">
        <v>1.8579999999999999E-2</v>
      </c>
      <c r="F11" s="49"/>
      <c r="G11" s="49"/>
      <c r="H11" s="50"/>
      <c r="I11" s="50"/>
      <c r="J11" s="49"/>
      <c r="K11" s="50"/>
      <c r="L11" s="50"/>
      <c r="M11" s="50"/>
      <c r="N11" s="51"/>
      <c r="P11" s="69"/>
      <c r="Q11" s="65"/>
      <c r="R11" s="65"/>
      <c r="S11" s="51"/>
      <c r="T11">
        <f>120*53/14</f>
        <v>454.28571428571428</v>
      </c>
      <c r="U11" s="48">
        <v>1</v>
      </c>
      <c r="V11" s="62">
        <f>T11*PI()/30</f>
        <v>47.572688754359724</v>
      </c>
      <c r="W11" s="63">
        <f>V11*$Z$9</f>
        <v>8.0873570882411538</v>
      </c>
      <c r="X11" s="63">
        <f t="shared" ref="X11:X16" si="0">SQRT(W11^2+U11^2)</f>
        <v>8.148947457968081</v>
      </c>
      <c r="Y11" s="63">
        <f t="shared" ref="Y11:Y16" si="1">($V$3-$V$4-$V$5*$V$6*$V$7)/(0.5*$V$5*X11^2)</f>
        <v>-3.143801630933678</v>
      </c>
      <c r="Z11" s="63">
        <f>0.69375*$Z$9*V11</f>
        <v>5.6106039799673004</v>
      </c>
      <c r="AA11" s="63">
        <f t="shared" ref="AA11:AA16" si="2">SQRT(Z11^2+U11^2)</f>
        <v>5.6990242164799501</v>
      </c>
      <c r="AB11" s="63">
        <f t="shared" ref="AB11:AB16" si="3">($V$3-$V$4-$V$5*$V$6*$V$7)/(0.5*$V$5*AA11^2)</f>
        <v>-6.4277231862453119</v>
      </c>
      <c r="AC11" s="50"/>
      <c r="AD11" s="50"/>
      <c r="AE11" s="50"/>
      <c r="AF11" s="50"/>
      <c r="AG11" s="50"/>
      <c r="AH11" s="50"/>
      <c r="AI11" s="50"/>
      <c r="AJ11" s="51"/>
    </row>
    <row r="12" spans="2:36" x14ac:dyDescent="0.35">
      <c r="B12">
        <v>0.17455999999999999</v>
      </c>
      <c r="C12">
        <v>0.2697</v>
      </c>
      <c r="D12" s="68">
        <v>2.844E-2</v>
      </c>
      <c r="E12" s="68">
        <v>1.8409999999999999E-2</v>
      </c>
      <c r="F12" s="49"/>
      <c r="G12" s="49"/>
      <c r="H12" s="50"/>
      <c r="I12" s="50"/>
      <c r="J12" s="49"/>
      <c r="K12" s="50"/>
      <c r="L12" s="50"/>
      <c r="M12" s="50"/>
      <c r="N12" s="51"/>
      <c r="P12" s="69"/>
      <c r="Q12" s="65"/>
      <c r="R12" s="65"/>
      <c r="S12" s="51"/>
      <c r="T12">
        <f t="shared" ref="T12:T16" si="4">120*53/14</f>
        <v>454.28571428571428</v>
      </c>
      <c r="U12" s="48">
        <v>2</v>
      </c>
      <c r="V12" s="62">
        <f t="shared" ref="V12:V16" si="5">T12*PI()/30</f>
        <v>47.572688754359724</v>
      </c>
      <c r="W12" s="63">
        <f t="shared" ref="W12:W16" si="6">V12*$Z$9</f>
        <v>8.0873570882411538</v>
      </c>
      <c r="X12" s="63">
        <f t="shared" si="0"/>
        <v>8.3309870167180335</v>
      </c>
      <c r="Y12" s="63">
        <f t="shared" si="1"/>
        <v>-3.0079128901274181</v>
      </c>
      <c r="Z12" s="63">
        <f t="shared" ref="Z12:Z16" si="7">0.69375*$Z$9*V12</f>
        <v>5.6106039799673004</v>
      </c>
      <c r="AA12" s="63">
        <f t="shared" si="2"/>
        <v>5.956414779044934</v>
      </c>
      <c r="AB12" s="63">
        <f t="shared" si="3"/>
        <v>-5.8842119147963263</v>
      </c>
      <c r="AC12" s="50"/>
      <c r="AD12" s="50"/>
      <c r="AE12" s="50"/>
      <c r="AF12" s="50"/>
      <c r="AG12" s="50"/>
      <c r="AH12" s="50"/>
      <c r="AI12" s="50"/>
      <c r="AJ12" s="51"/>
    </row>
    <row r="13" spans="2:36" x14ac:dyDescent="0.35">
      <c r="B13">
        <v>0.21820000000000001</v>
      </c>
      <c r="C13">
        <v>0.35460000000000003</v>
      </c>
      <c r="D13" s="68">
        <v>3.0120000000000001E-2</v>
      </c>
      <c r="E13" s="68">
        <v>1.8540000000000001E-2</v>
      </c>
      <c r="F13" s="49"/>
      <c r="G13" s="49"/>
      <c r="H13" s="50"/>
      <c r="I13" s="50"/>
      <c r="J13" s="49"/>
      <c r="K13" s="50"/>
      <c r="L13" s="50"/>
      <c r="M13" s="50"/>
      <c r="N13" s="51"/>
      <c r="P13" s="69"/>
      <c r="Q13" s="65"/>
      <c r="R13" s="65"/>
      <c r="S13" s="51"/>
      <c r="T13">
        <f>R21</f>
        <v>454.28571428571428</v>
      </c>
      <c r="U13" s="48">
        <v>3</v>
      </c>
      <c r="V13" s="62">
        <f t="shared" si="5"/>
        <v>47.572688754359724</v>
      </c>
      <c r="W13" s="63">
        <f t="shared" si="6"/>
        <v>8.0873570882411538</v>
      </c>
      <c r="X13" s="63">
        <f t="shared" si="0"/>
        <v>8.6258532721536856</v>
      </c>
      <c r="Y13" s="63">
        <f t="shared" si="1"/>
        <v>-2.8057827270754312</v>
      </c>
      <c r="Z13" s="63">
        <f t="shared" si="7"/>
        <v>5.6106039799673004</v>
      </c>
      <c r="AA13" s="63">
        <f t="shared" si="2"/>
        <v>6.3623012361900084</v>
      </c>
      <c r="AB13" s="63">
        <f t="shared" si="3"/>
        <v>-5.1573869201348632</v>
      </c>
      <c r="AC13" s="50"/>
      <c r="AD13" s="50"/>
      <c r="AE13" s="50"/>
      <c r="AF13" s="50"/>
      <c r="AG13" s="50"/>
      <c r="AH13" s="50"/>
      <c r="AI13" s="50"/>
      <c r="AJ13" s="51"/>
    </row>
    <row r="14" spans="2:36" ht="15" thickBot="1" x14ac:dyDescent="0.4">
      <c r="B14">
        <v>0.26184000000000002</v>
      </c>
      <c r="C14">
        <v>0.44180000000000003</v>
      </c>
      <c r="D14" s="68">
        <v>3.2050000000000002E-2</v>
      </c>
      <c r="E14" s="68">
        <v>1.9E-2</v>
      </c>
      <c r="F14" s="49"/>
      <c r="G14" s="49"/>
      <c r="H14" s="50"/>
      <c r="I14" s="50"/>
      <c r="J14" s="49"/>
      <c r="K14" s="50"/>
      <c r="L14" s="50"/>
      <c r="M14" s="50"/>
      <c r="N14" s="51"/>
      <c r="P14" s="60"/>
      <c r="Q14" s="55"/>
      <c r="R14" s="55"/>
      <c r="S14" s="56"/>
      <c r="T14">
        <f t="shared" si="4"/>
        <v>454.28571428571428</v>
      </c>
      <c r="U14" s="48">
        <v>4</v>
      </c>
      <c r="V14" s="62">
        <f t="shared" si="5"/>
        <v>47.572688754359724</v>
      </c>
      <c r="W14" s="63">
        <f t="shared" si="6"/>
        <v>8.0873570882411538</v>
      </c>
      <c r="X14" s="63">
        <f t="shared" si="0"/>
        <v>9.0224910458655732</v>
      </c>
      <c r="Y14" s="63">
        <f t="shared" si="1"/>
        <v>-2.5645150416612972</v>
      </c>
      <c r="Z14" s="63">
        <f t="shared" si="7"/>
        <v>5.6106039799673004</v>
      </c>
      <c r="AA14" s="63">
        <f t="shared" si="2"/>
        <v>6.8904917836120312</v>
      </c>
      <c r="AB14" s="63">
        <f t="shared" si="3"/>
        <v>-4.3970128189168074</v>
      </c>
      <c r="AC14" s="50"/>
      <c r="AD14" s="50"/>
      <c r="AE14" s="50"/>
      <c r="AF14" s="50"/>
      <c r="AG14" s="50"/>
      <c r="AH14" s="50"/>
      <c r="AI14" s="50"/>
      <c r="AJ14" s="51"/>
    </row>
    <row r="15" spans="2:36" x14ac:dyDescent="0.35">
      <c r="B15">
        <v>0.30547999999999997</v>
      </c>
      <c r="C15">
        <v>0.52680000000000005</v>
      </c>
      <c r="D15" s="68">
        <v>3.415E-2</v>
      </c>
      <c r="E15" s="68">
        <v>1.9800000000000002E-2</v>
      </c>
      <c r="F15" s="49"/>
      <c r="G15" s="49"/>
      <c r="H15" s="50"/>
      <c r="I15" s="50"/>
      <c r="J15" s="49"/>
      <c r="K15" s="50"/>
      <c r="L15" s="50"/>
      <c r="M15" s="50"/>
      <c r="N15" s="51"/>
      <c r="T15">
        <f t="shared" si="4"/>
        <v>454.28571428571428</v>
      </c>
      <c r="U15" s="48">
        <v>5</v>
      </c>
      <c r="V15" s="62">
        <f t="shared" si="5"/>
        <v>47.572688754359724</v>
      </c>
      <c r="W15" s="63">
        <f t="shared" si="6"/>
        <v>8.0873570882411538</v>
      </c>
      <c r="X15" s="63">
        <f t="shared" si="0"/>
        <v>9.5081725201388956</v>
      </c>
      <c r="Y15" s="63">
        <f t="shared" si="1"/>
        <v>-2.309213372733363</v>
      </c>
      <c r="Z15" s="63">
        <f t="shared" si="7"/>
        <v>5.6106039799673004</v>
      </c>
      <c r="AA15" s="63">
        <f t="shared" si="2"/>
        <v>7.5152429781095504</v>
      </c>
      <c r="AB15" s="63">
        <f t="shared" si="3"/>
        <v>-3.6963417457964907</v>
      </c>
      <c r="AC15" s="50"/>
      <c r="AD15" s="50"/>
      <c r="AE15" s="50"/>
      <c r="AF15" s="64"/>
      <c r="AG15" s="64"/>
      <c r="AH15" s="50"/>
      <c r="AI15" s="50"/>
      <c r="AJ15" s="51"/>
    </row>
    <row r="16" spans="2:36" x14ac:dyDescent="0.35">
      <c r="B16">
        <v>0.34911999999999999</v>
      </c>
      <c r="C16">
        <v>0.60560000000000003</v>
      </c>
      <c r="D16" s="68">
        <v>3.6360000000000003E-2</v>
      </c>
      <c r="E16" s="68">
        <v>2.0959999999999999E-2</v>
      </c>
      <c r="F16" s="49"/>
      <c r="G16" s="49"/>
      <c r="H16" s="50"/>
      <c r="I16" s="50"/>
      <c r="J16" s="49"/>
      <c r="K16" s="50"/>
      <c r="L16" s="50"/>
      <c r="M16" s="50"/>
      <c r="N16" s="51"/>
      <c r="T16">
        <f t="shared" si="4"/>
        <v>454.28571428571428</v>
      </c>
      <c r="U16" s="48">
        <v>6</v>
      </c>
      <c r="V16" s="62">
        <f t="shared" si="5"/>
        <v>47.572688754359724</v>
      </c>
      <c r="W16" s="63">
        <f t="shared" si="6"/>
        <v>8.0873570882411538</v>
      </c>
      <c r="X16" s="63">
        <f t="shared" si="0"/>
        <v>10.070022079058438</v>
      </c>
      <c r="Y16" s="63">
        <f t="shared" si="1"/>
        <v>-2.0587201942717419</v>
      </c>
      <c r="Z16" s="63">
        <f t="shared" si="7"/>
        <v>5.6106039799673004</v>
      </c>
      <c r="AA16" s="63">
        <f t="shared" si="2"/>
        <v>8.2145527583688267</v>
      </c>
      <c r="AB16" s="63">
        <f t="shared" si="3"/>
        <v>-3.0937863832984567</v>
      </c>
      <c r="AC16" s="50"/>
      <c r="AD16" s="50"/>
      <c r="AE16" s="50"/>
      <c r="AF16" s="64"/>
      <c r="AG16" s="64"/>
      <c r="AH16" s="50"/>
      <c r="AI16" s="50"/>
      <c r="AJ16" s="51"/>
    </row>
    <row r="17" spans="2:36" x14ac:dyDescent="0.35">
      <c r="B17">
        <v>0.39276</v>
      </c>
      <c r="C17">
        <v>0.67500000000000004</v>
      </c>
      <c r="D17" s="68">
        <v>3.8620000000000002E-2</v>
      </c>
      <c r="E17" s="68">
        <v>2.247E-2</v>
      </c>
      <c r="F17" s="49"/>
      <c r="G17" s="49"/>
      <c r="H17" s="50"/>
      <c r="I17" s="50"/>
      <c r="J17" s="49"/>
      <c r="K17" s="50"/>
      <c r="L17" s="50"/>
      <c r="M17" s="50"/>
      <c r="N17" s="51"/>
      <c r="U17" s="48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1"/>
    </row>
    <row r="18" spans="2:36" x14ac:dyDescent="0.35">
      <c r="B18">
        <v>0.43641000000000002</v>
      </c>
      <c r="C18">
        <v>0.73329999999999995</v>
      </c>
      <c r="D18" s="68">
        <v>4.088E-2</v>
      </c>
      <c r="E18" s="68">
        <v>2.4330000000000001E-2</v>
      </c>
      <c r="F18" s="49"/>
      <c r="G18" s="49"/>
      <c r="H18" s="50"/>
      <c r="I18" s="50"/>
      <c r="J18" s="49"/>
      <c r="K18" s="50"/>
      <c r="L18" s="50"/>
      <c r="M18" s="50"/>
      <c r="N18" s="51"/>
      <c r="U18" s="48"/>
      <c r="V18" s="50"/>
      <c r="W18" s="50"/>
      <c r="X18" s="50"/>
      <c r="Y18" s="50"/>
      <c r="Z18" s="50"/>
      <c r="AA18" s="50"/>
      <c r="AB18" s="50">
        <f>0.7*Z9</f>
        <v>0.11899999999999999</v>
      </c>
      <c r="AC18" s="50"/>
      <c r="AD18" s="50"/>
      <c r="AE18" s="50"/>
      <c r="AF18" s="50"/>
      <c r="AI18" s="50"/>
      <c r="AJ18" s="51"/>
    </row>
    <row r="19" spans="2:36" x14ac:dyDescent="0.35">
      <c r="B19">
        <v>0.48004999999999998</v>
      </c>
      <c r="C19">
        <v>0.78</v>
      </c>
      <c r="D19" s="68">
        <v>4.308E-2</v>
      </c>
      <c r="E19" s="68">
        <v>2.6509999999999999E-2</v>
      </c>
      <c r="F19" s="49"/>
      <c r="G19" s="49"/>
      <c r="H19" s="50"/>
      <c r="I19" s="50"/>
      <c r="J19" s="49"/>
      <c r="K19" s="50"/>
      <c r="L19" s="50"/>
      <c r="M19" s="50"/>
      <c r="N19" s="51"/>
      <c r="R19">
        <v>53</v>
      </c>
      <c r="U19" s="48" t="s">
        <v>81</v>
      </c>
      <c r="V19" s="50" t="s">
        <v>63</v>
      </c>
      <c r="W19" s="50"/>
      <c r="X19" s="50"/>
      <c r="Y19" s="50"/>
      <c r="Z19" s="50"/>
      <c r="AA19" s="50"/>
      <c r="AB19" s="50" t="s">
        <v>88</v>
      </c>
      <c r="AC19" s="50"/>
      <c r="AD19" s="50"/>
      <c r="AE19" s="50"/>
      <c r="AF19" s="50"/>
      <c r="AG19" s="50"/>
      <c r="AH19" s="50"/>
      <c r="AI19" s="50"/>
      <c r="AJ19" s="51"/>
    </row>
    <row r="20" spans="2:36" x14ac:dyDescent="0.35">
      <c r="B20">
        <v>0.52368999999999999</v>
      </c>
      <c r="C20">
        <v>0.81610000000000005</v>
      </c>
      <c r="D20" s="68">
        <v>4.521E-2</v>
      </c>
      <c r="E20" s="68">
        <v>2.9010000000000001E-2</v>
      </c>
      <c r="F20" s="49"/>
      <c r="G20" s="49"/>
      <c r="H20" s="50"/>
      <c r="I20" s="50"/>
      <c r="J20" s="49"/>
      <c r="K20" s="50"/>
      <c r="L20" s="50"/>
      <c r="M20" s="50"/>
      <c r="N20" s="51"/>
      <c r="R20">
        <v>14</v>
      </c>
      <c r="U20" s="48" t="s">
        <v>77</v>
      </c>
      <c r="V20" s="50" t="s">
        <v>64</v>
      </c>
      <c r="W20" s="50" t="s">
        <v>95</v>
      </c>
      <c r="X20" s="50"/>
      <c r="Y20" s="50" t="s">
        <v>75</v>
      </c>
      <c r="Z20" s="50" t="s">
        <v>100</v>
      </c>
      <c r="AA20" s="50"/>
      <c r="AB20" s="50" t="s">
        <v>64</v>
      </c>
      <c r="AC20" s="50" t="s">
        <v>95</v>
      </c>
      <c r="AD20" s="50"/>
      <c r="AE20" s="50" t="s">
        <v>75</v>
      </c>
      <c r="AF20" s="50" t="s">
        <v>100</v>
      </c>
      <c r="AG20" s="50"/>
      <c r="AH20" s="50"/>
      <c r="AI20" s="50"/>
      <c r="AJ20" s="51"/>
    </row>
    <row r="21" spans="2:36" x14ac:dyDescent="0.35">
      <c r="B21">
        <v>0.56733</v>
      </c>
      <c r="C21">
        <v>0.87029999999999996</v>
      </c>
      <c r="D21" s="68">
        <v>4.4089999999999997E-2</v>
      </c>
      <c r="E21" s="68">
        <v>2.8740000000000002E-2</v>
      </c>
      <c r="F21" s="49"/>
      <c r="G21" s="49"/>
      <c r="H21" s="50"/>
      <c r="I21" s="50"/>
      <c r="J21" s="49"/>
      <c r="K21" s="50"/>
      <c r="L21" s="50"/>
      <c r="M21" s="50"/>
      <c r="N21" s="51"/>
      <c r="R21">
        <f>120*R19/R20</f>
        <v>454.28571428571428</v>
      </c>
      <c r="U21" s="48">
        <v>1</v>
      </c>
      <c r="V21" s="50"/>
      <c r="W21" s="50"/>
      <c r="X21" s="50"/>
      <c r="Y21" s="66"/>
      <c r="Z21" s="50" t="e">
        <f t="shared" ref="Z21:Z25" si="8">Y11/Y21</f>
        <v>#DIV/0!</v>
      </c>
      <c r="AA21" s="50"/>
      <c r="AB21" s="50"/>
      <c r="AC21" s="50"/>
      <c r="AD21" s="50"/>
      <c r="AE21" s="50"/>
      <c r="AF21" s="50" t="e">
        <f t="shared" ref="AF21:AF25" si="9">AB11/AE21</f>
        <v>#DIV/0!</v>
      </c>
      <c r="AG21" s="50"/>
      <c r="AH21" s="50"/>
      <c r="AI21" s="50"/>
      <c r="AJ21" s="51"/>
    </row>
    <row r="22" spans="2:36" x14ac:dyDescent="0.35">
      <c r="B22">
        <v>0.61097000000000001</v>
      </c>
      <c r="C22">
        <v>0.88770000000000004</v>
      </c>
      <c r="D22" s="68">
        <v>3.8719999999999997E-2</v>
      </c>
      <c r="E22" s="68">
        <v>2.665E-2</v>
      </c>
      <c r="F22" s="49"/>
      <c r="G22" s="49"/>
      <c r="H22" s="50"/>
      <c r="I22" s="50"/>
      <c r="J22" s="49"/>
      <c r="K22" s="50"/>
      <c r="L22" s="50"/>
      <c r="M22" s="50"/>
      <c r="N22" s="51"/>
      <c r="U22" s="48">
        <v>2</v>
      </c>
      <c r="V22" s="50"/>
      <c r="W22" s="50"/>
      <c r="X22" s="50"/>
      <c r="Y22" s="66"/>
      <c r="Z22" s="50" t="e">
        <f t="shared" si="8"/>
        <v>#DIV/0!</v>
      </c>
      <c r="AA22" s="50"/>
      <c r="AB22" s="50"/>
      <c r="AC22" s="50"/>
      <c r="AD22" s="50"/>
      <c r="AE22" s="50"/>
      <c r="AF22" s="50" t="e">
        <f t="shared" si="9"/>
        <v>#DIV/0!</v>
      </c>
      <c r="AG22" s="50"/>
      <c r="AH22" s="50"/>
      <c r="AI22" s="50"/>
      <c r="AJ22" s="51"/>
    </row>
    <row r="23" spans="2:36" x14ac:dyDescent="0.35">
      <c r="B23">
        <v>0.65461000000000003</v>
      </c>
      <c r="C23">
        <v>0.90139999999999998</v>
      </c>
      <c r="D23" s="68">
        <v>3.322E-2</v>
      </c>
      <c r="E23" s="68">
        <v>2.4119999999999999E-2</v>
      </c>
      <c r="F23" s="49"/>
      <c r="G23" s="49"/>
      <c r="H23" s="50"/>
      <c r="I23" s="50"/>
      <c r="J23" s="49"/>
      <c r="K23" s="50"/>
      <c r="L23" s="50"/>
      <c r="M23" s="50"/>
      <c r="N23" s="51"/>
      <c r="R23">
        <f>85*R19/R20</f>
        <v>321.78571428571428</v>
      </c>
      <c r="U23" s="48">
        <v>3</v>
      </c>
      <c r="V23" s="50">
        <v>86582</v>
      </c>
      <c r="W23" s="75">
        <v>1.1335</v>
      </c>
      <c r="X23" s="50"/>
      <c r="Y23" s="66">
        <v>-2.7826</v>
      </c>
      <c r="Z23" s="50">
        <f t="shared" si="8"/>
        <v>1.0083313185781038</v>
      </c>
      <c r="AA23" s="50"/>
      <c r="AB23" s="50"/>
      <c r="AC23" s="50"/>
      <c r="AD23" s="50"/>
      <c r="AE23" s="66"/>
      <c r="AF23" s="50" t="e">
        <f t="shared" si="9"/>
        <v>#DIV/0!</v>
      </c>
      <c r="AG23" s="50"/>
      <c r="AH23" s="50"/>
      <c r="AI23" s="50"/>
      <c r="AJ23" s="51"/>
    </row>
    <row r="24" spans="2:36" x14ac:dyDescent="0.35">
      <c r="B24">
        <v>0.69825000000000004</v>
      </c>
      <c r="C24">
        <v>0.91049999999999998</v>
      </c>
      <c r="D24" s="68">
        <v>2.7570000000000001E-2</v>
      </c>
      <c r="E24" s="68">
        <v>2.1139999999999999E-2</v>
      </c>
      <c r="F24" s="49"/>
      <c r="G24" s="49"/>
      <c r="H24" s="50"/>
      <c r="I24" s="50"/>
      <c r="J24" s="49"/>
      <c r="K24" s="50"/>
      <c r="L24" s="50"/>
      <c r="M24" s="50"/>
      <c r="N24" s="51"/>
      <c r="U24" s="48">
        <v>4</v>
      </c>
      <c r="V24" s="50"/>
      <c r="W24" s="50"/>
      <c r="X24" s="50"/>
      <c r="Y24" s="76"/>
      <c r="Z24" s="50" t="e">
        <f t="shared" si="8"/>
        <v>#DIV/0!</v>
      </c>
      <c r="AA24" s="50"/>
      <c r="AB24" s="50"/>
      <c r="AC24" s="50"/>
      <c r="AD24" s="50"/>
      <c r="AE24" s="66"/>
      <c r="AF24" s="50" t="e">
        <f t="shared" si="9"/>
        <v>#DIV/0!</v>
      </c>
      <c r="AG24" s="50"/>
      <c r="AH24" s="50"/>
      <c r="AI24" s="50"/>
      <c r="AJ24" s="51"/>
    </row>
    <row r="25" spans="2:36" x14ac:dyDescent="0.35">
      <c r="B25">
        <v>0.74189000000000005</v>
      </c>
      <c r="C25">
        <v>0.91269999999999996</v>
      </c>
      <c r="D25" s="68">
        <v>2.1780000000000001E-2</v>
      </c>
      <c r="E25" s="68">
        <v>1.77E-2</v>
      </c>
      <c r="F25" s="49"/>
      <c r="G25" s="49"/>
      <c r="H25" s="50"/>
      <c r="I25" s="50"/>
      <c r="J25" s="49"/>
      <c r="K25" s="50"/>
      <c r="L25" s="50"/>
      <c r="M25" s="50"/>
      <c r="N25" s="51"/>
      <c r="U25" s="48">
        <v>5</v>
      </c>
      <c r="V25" s="50"/>
      <c r="W25" s="50"/>
      <c r="X25" s="50"/>
      <c r="Y25" s="50"/>
      <c r="Z25" s="50" t="e">
        <f t="shared" si="8"/>
        <v>#DIV/0!</v>
      </c>
      <c r="AA25" s="50"/>
      <c r="AB25" s="50"/>
      <c r="AC25" s="50"/>
      <c r="AD25" s="50"/>
      <c r="AE25" s="50"/>
      <c r="AF25" s="50" t="e">
        <f t="shared" si="9"/>
        <v>#DIV/0!</v>
      </c>
      <c r="AG25" s="50"/>
      <c r="AH25" s="50"/>
      <c r="AI25" s="50"/>
      <c r="AJ25" s="51"/>
    </row>
    <row r="26" spans="2:36" ht="15" thickBot="1" x14ac:dyDescent="0.4">
      <c r="B26">
        <v>0.78552999999999995</v>
      </c>
      <c r="C26">
        <v>0.89980000000000004</v>
      </c>
      <c r="D26" s="68">
        <v>1.5800000000000002E-2</v>
      </c>
      <c r="E26" s="68">
        <v>1.38E-2</v>
      </c>
      <c r="F26" s="49"/>
      <c r="G26" s="49"/>
      <c r="H26" s="50"/>
      <c r="I26" s="50"/>
      <c r="J26" s="50"/>
      <c r="K26" s="50"/>
      <c r="L26" s="50"/>
      <c r="M26" s="50"/>
      <c r="N26" s="51"/>
      <c r="U26" s="60">
        <v>6</v>
      </c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6"/>
    </row>
    <row r="27" spans="2:36" x14ac:dyDescent="0.35">
      <c r="B27">
        <v>0.82916999999999996</v>
      </c>
      <c r="C27">
        <v>0.84899999999999998</v>
      </c>
      <c r="D27" s="68">
        <v>9.6430000000000005E-3</v>
      </c>
      <c r="E27" s="68">
        <v>9.4179999999999993E-3</v>
      </c>
      <c r="F27" s="49"/>
      <c r="G27" s="49"/>
      <c r="H27" s="50"/>
      <c r="I27" s="50"/>
      <c r="J27" s="50"/>
      <c r="K27" s="50"/>
      <c r="L27" s="50"/>
      <c r="M27" s="50"/>
      <c r="N27" s="51"/>
    </row>
    <row r="28" spans="2:36" x14ac:dyDescent="0.35">
      <c r="B28">
        <v>0.87280999999999997</v>
      </c>
      <c r="C28">
        <v>0.63160000000000005</v>
      </c>
      <c r="D28" s="68">
        <v>3.2929999999999999E-3</v>
      </c>
      <c r="E28" s="68">
        <v>4.5510000000000004E-3</v>
      </c>
      <c r="F28" s="49"/>
      <c r="G28" s="49"/>
      <c r="H28" s="50"/>
      <c r="I28" s="50"/>
      <c r="J28" s="50"/>
      <c r="K28" s="50"/>
      <c r="L28" s="50"/>
      <c r="M28" s="50"/>
      <c r="N28" s="51"/>
    </row>
    <row r="29" spans="2:36" ht="15" thickBot="1" x14ac:dyDescent="0.4">
      <c r="D29" s="68"/>
      <c r="E29" s="68"/>
      <c r="F29" s="54"/>
      <c r="G29" s="54"/>
      <c r="H29" s="55"/>
      <c r="I29" s="55"/>
      <c r="J29" s="55"/>
      <c r="K29" s="55"/>
      <c r="L29" s="55"/>
      <c r="M29" s="55"/>
      <c r="N29" s="56"/>
    </row>
    <row r="30" spans="2:36" x14ac:dyDescent="0.35">
      <c r="D30" s="68"/>
      <c r="E30" s="68"/>
      <c r="F30" s="49"/>
      <c r="G30" s="49"/>
      <c r="H30" s="50"/>
      <c r="I30" s="50"/>
      <c r="J30" s="50"/>
      <c r="K30" s="50"/>
      <c r="L30" s="50"/>
      <c r="M30" s="50"/>
      <c r="N30" s="50"/>
    </row>
    <row r="31" spans="2:36" x14ac:dyDescent="0.35">
      <c r="D31" s="68"/>
      <c r="E31" s="68"/>
      <c r="F31" s="49"/>
      <c r="G31" s="49"/>
      <c r="H31" s="50"/>
      <c r="I31" s="50"/>
      <c r="J31" s="50"/>
      <c r="K31" s="50"/>
      <c r="L31" s="50"/>
      <c r="M31" s="50"/>
      <c r="N31" s="50"/>
    </row>
    <row r="32" spans="2:36" x14ac:dyDescent="0.35">
      <c r="D32" s="68"/>
      <c r="E32" s="68"/>
      <c r="F32" s="49"/>
      <c r="G32" s="49"/>
      <c r="H32" s="50"/>
      <c r="I32" s="50"/>
      <c r="J32" s="50"/>
      <c r="K32" s="50"/>
      <c r="L32" s="50"/>
      <c r="M32" s="50"/>
      <c r="N32" s="50"/>
    </row>
    <row r="33" spans="2:17" x14ac:dyDescent="0.35">
      <c r="D33" s="68"/>
      <c r="E33" s="68"/>
      <c r="F33" s="49"/>
      <c r="G33" s="49"/>
      <c r="H33" s="50"/>
      <c r="I33" s="50"/>
      <c r="J33" s="50"/>
      <c r="K33" s="50"/>
      <c r="L33" s="50"/>
      <c r="M33" s="50"/>
      <c r="N33" s="50"/>
    </row>
    <row r="34" spans="2:17" x14ac:dyDescent="0.35">
      <c r="D34" s="68"/>
      <c r="E34" s="68"/>
      <c r="F34" s="49"/>
      <c r="G34" s="49"/>
      <c r="H34" s="50"/>
      <c r="I34" s="50"/>
      <c r="J34" s="50"/>
      <c r="K34" s="50"/>
      <c r="L34" s="50"/>
      <c r="M34" s="50"/>
      <c r="N34" s="50"/>
    </row>
    <row r="35" spans="2:17" x14ac:dyDescent="0.35">
      <c r="B35" s="49"/>
      <c r="C35" s="49"/>
      <c r="D35" s="49"/>
      <c r="E35" s="49"/>
      <c r="F35" s="49"/>
      <c r="G35" s="49"/>
      <c r="H35" s="50"/>
      <c r="I35" s="50"/>
      <c r="J35" s="50"/>
      <c r="K35" s="50"/>
      <c r="L35" s="50"/>
      <c r="M35" s="50"/>
      <c r="N35" s="50"/>
    </row>
    <row r="36" spans="2:17" x14ac:dyDescent="0.35">
      <c r="B36" s="49"/>
      <c r="C36" s="49"/>
      <c r="D36" s="49"/>
      <c r="E36" s="49"/>
      <c r="F36" s="49"/>
      <c r="G36" s="49"/>
      <c r="H36" s="50"/>
      <c r="I36" s="50"/>
      <c r="J36" s="50"/>
      <c r="K36" s="50"/>
      <c r="L36" s="50"/>
      <c r="M36" s="50"/>
      <c r="N36" s="50"/>
    </row>
    <row r="37" spans="2:17" x14ac:dyDescent="0.35">
      <c r="B37" s="49"/>
      <c r="C37" s="49"/>
      <c r="D37" s="49"/>
      <c r="E37" s="49"/>
      <c r="F37" s="49"/>
      <c r="G37" s="49"/>
      <c r="H37" s="50"/>
      <c r="I37" s="50"/>
      <c r="J37" s="50"/>
      <c r="K37" s="50"/>
      <c r="L37" s="50"/>
      <c r="M37" s="50"/>
      <c r="N37" s="50"/>
    </row>
    <row r="38" spans="2:17" x14ac:dyDescent="0.35">
      <c r="B38" s="49"/>
      <c r="C38" s="49"/>
      <c r="D38" s="49"/>
      <c r="E38" s="49"/>
      <c r="F38" s="49"/>
      <c r="G38" s="49"/>
      <c r="H38" s="50"/>
      <c r="I38" s="50"/>
      <c r="J38" s="50"/>
      <c r="K38" s="50"/>
      <c r="L38" s="50"/>
      <c r="M38" s="50"/>
      <c r="N38" s="50"/>
    </row>
    <row r="39" spans="2:17" ht="15" thickBot="1" x14ac:dyDescent="0.4">
      <c r="F39" s="1"/>
      <c r="G39" s="1"/>
    </row>
    <row r="40" spans="2:17" x14ac:dyDescent="0.35">
      <c r="B40" s="45"/>
      <c r="C40" s="46">
        <v>1</v>
      </c>
      <c r="D40" s="46">
        <v>2</v>
      </c>
      <c r="E40" s="46">
        <v>3</v>
      </c>
      <c r="F40" s="46">
        <v>4</v>
      </c>
      <c r="G40" s="46">
        <v>5</v>
      </c>
      <c r="H40" s="46">
        <v>6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8" t="s">
        <v>62</v>
      </c>
      <c r="C41" s="50" t="s">
        <v>64</v>
      </c>
      <c r="D41" s="50" t="s">
        <v>65</v>
      </c>
      <c r="E41" s="50" t="s">
        <v>64</v>
      </c>
      <c r="F41" s="50" t="s">
        <v>66</v>
      </c>
      <c r="G41" s="50" t="s">
        <v>64</v>
      </c>
      <c r="H41" s="50" t="s">
        <v>64</v>
      </c>
      <c r="I41" s="50"/>
      <c r="J41" s="50"/>
      <c r="K41" s="50"/>
      <c r="L41" s="50"/>
      <c r="M41" s="50"/>
      <c r="N41" s="50"/>
      <c r="O41" s="50"/>
      <c r="P41" s="50"/>
      <c r="Q41" s="51"/>
    </row>
    <row r="42" spans="2:17" x14ac:dyDescent="0.35">
      <c r="B42" s="48">
        <v>3.7100000000000001E-2</v>
      </c>
      <c r="C42" s="50">
        <v>19940</v>
      </c>
      <c r="D42" s="50">
        <v>27915</v>
      </c>
      <c r="E42" s="50">
        <v>37619</v>
      </c>
      <c r="F42" s="50">
        <v>48020</v>
      </c>
      <c r="G42" s="50">
        <v>59317</v>
      </c>
      <c r="H42" s="50">
        <v>70660</v>
      </c>
      <c r="I42" s="50"/>
      <c r="J42" s="50"/>
      <c r="K42" s="50"/>
      <c r="L42" s="50"/>
      <c r="M42" s="50"/>
      <c r="N42" s="50"/>
      <c r="O42" s="50"/>
      <c r="P42" s="50"/>
      <c r="Q42" s="51"/>
    </row>
    <row r="43" spans="2:17" x14ac:dyDescent="0.35">
      <c r="B43" s="48">
        <v>4.3799999999999999E-2</v>
      </c>
      <c r="C43" s="50">
        <v>25545</v>
      </c>
      <c r="D43" s="50">
        <v>33878</v>
      </c>
      <c r="E43" s="50">
        <v>44415</v>
      </c>
      <c r="F43" s="50">
        <v>55931</v>
      </c>
      <c r="G43" s="50">
        <v>68814</v>
      </c>
      <c r="H43" s="50">
        <v>81767</v>
      </c>
      <c r="I43" s="50"/>
      <c r="J43" s="50"/>
      <c r="K43" s="50"/>
      <c r="L43" s="50"/>
      <c r="M43" s="50"/>
      <c r="N43" s="50"/>
      <c r="O43" s="50"/>
      <c r="P43" s="50"/>
      <c r="Q43" s="51"/>
    </row>
    <row r="44" spans="2:17" x14ac:dyDescent="0.35">
      <c r="B44" s="48">
        <v>5.04E-2</v>
      </c>
      <c r="C44" s="50">
        <v>31606</v>
      </c>
      <c r="D44" s="50">
        <v>40106</v>
      </c>
      <c r="E44" s="50">
        <v>51222</v>
      </c>
      <c r="F44" s="50">
        <v>63607</v>
      </c>
      <c r="G44" s="50">
        <v>77927</v>
      </c>
      <c r="H44" s="50">
        <v>92344</v>
      </c>
      <c r="I44" s="50"/>
      <c r="J44" s="50"/>
      <c r="K44" s="50"/>
      <c r="L44" s="50"/>
      <c r="M44" s="50"/>
      <c r="N44" s="50"/>
      <c r="O44" s="50"/>
      <c r="P44" s="50"/>
      <c r="Q44" s="51"/>
    </row>
    <row r="45" spans="2:17" x14ac:dyDescent="0.35">
      <c r="B45" s="48">
        <v>5.7099999999999998E-2</v>
      </c>
      <c r="C45" s="50">
        <v>38001</v>
      </c>
      <c r="D45" s="50">
        <v>46524</v>
      </c>
      <c r="E45" s="50">
        <v>57997</v>
      </c>
      <c r="F45" s="50">
        <v>71021</v>
      </c>
      <c r="G45" s="50">
        <v>86627</v>
      </c>
      <c r="H45" s="50">
        <v>102359</v>
      </c>
      <c r="I45" s="50"/>
      <c r="J45" s="50"/>
      <c r="K45" s="50"/>
      <c r="L45" s="50"/>
      <c r="M45" s="50"/>
      <c r="N45" s="50"/>
      <c r="O45" s="50"/>
      <c r="P45" s="50"/>
      <c r="Q45" s="51"/>
    </row>
    <row r="46" spans="2:17" x14ac:dyDescent="0.35">
      <c r="B46" s="48">
        <v>6.3700000000000007E-2</v>
      </c>
      <c r="C46" s="50">
        <v>44541</v>
      </c>
      <c r="D46" s="50">
        <v>52967</v>
      </c>
      <c r="E46" s="50">
        <v>64594</v>
      </c>
      <c r="F46" s="50">
        <v>78023</v>
      </c>
      <c r="G46" s="50">
        <v>94743</v>
      </c>
      <c r="H46" s="50">
        <v>111620</v>
      </c>
      <c r="I46" s="50"/>
      <c r="J46" s="50"/>
      <c r="K46" s="50"/>
      <c r="L46" s="50"/>
      <c r="M46" s="50"/>
      <c r="N46" s="50"/>
      <c r="O46" s="50"/>
      <c r="P46" s="50"/>
      <c r="Q46" s="51"/>
    </row>
    <row r="47" spans="2:17" x14ac:dyDescent="0.35">
      <c r="B47" s="48">
        <v>7.0400000000000004E-2</v>
      </c>
      <c r="C47" s="50">
        <v>50989</v>
      </c>
      <c r="D47" s="50">
        <v>59211</v>
      </c>
      <c r="E47" s="50">
        <v>70798</v>
      </c>
      <c r="F47" s="50">
        <v>84400</v>
      </c>
      <c r="G47" s="50">
        <v>102031</v>
      </c>
      <c r="H47" s="50">
        <v>119847</v>
      </c>
      <c r="I47" s="50"/>
      <c r="J47" s="50"/>
      <c r="K47" s="50"/>
      <c r="L47" s="50"/>
      <c r="M47" s="50"/>
      <c r="N47" s="50"/>
      <c r="O47" s="50"/>
      <c r="P47" s="50"/>
      <c r="Q47" s="51"/>
    </row>
    <row r="48" spans="2:17" x14ac:dyDescent="0.35">
      <c r="B48" s="48">
        <v>7.6999999999999999E-2</v>
      </c>
      <c r="C48" s="50">
        <v>57132</v>
      </c>
      <c r="D48" s="50">
        <v>65063</v>
      </c>
      <c r="E48" s="50">
        <v>76441</v>
      </c>
      <c r="F48" s="50">
        <v>89997</v>
      </c>
      <c r="G48" s="50">
        <v>108322</v>
      </c>
      <c r="H48" s="50">
        <v>126858</v>
      </c>
      <c r="I48" s="50"/>
      <c r="J48" s="50"/>
      <c r="K48" s="50"/>
      <c r="L48" s="50"/>
      <c r="M48" s="50"/>
      <c r="N48" s="50"/>
      <c r="O48" s="50"/>
      <c r="P48" s="50"/>
      <c r="Q48" s="51"/>
    </row>
    <row r="49" spans="2:17" x14ac:dyDescent="0.35">
      <c r="B49" s="48">
        <v>8.3699999999999997E-2</v>
      </c>
      <c r="C49" s="50">
        <v>62876</v>
      </c>
      <c r="D49" s="50">
        <v>70457</v>
      </c>
      <c r="E49" s="50">
        <v>81500</v>
      </c>
      <c r="F49" s="50">
        <v>94836</v>
      </c>
      <c r="G49" s="50">
        <v>113663</v>
      </c>
      <c r="H49" s="50">
        <v>132724</v>
      </c>
      <c r="I49" s="50"/>
      <c r="J49" s="50"/>
      <c r="K49" s="50"/>
      <c r="L49" s="50"/>
      <c r="M49" s="50"/>
      <c r="N49" s="50"/>
      <c r="O49" s="50"/>
      <c r="P49" s="50"/>
      <c r="Q49" s="51"/>
    </row>
    <row r="50" spans="2:17" x14ac:dyDescent="0.35">
      <c r="B50" s="48">
        <v>9.0300000000000005E-2</v>
      </c>
      <c r="C50" s="50">
        <v>68166</v>
      </c>
      <c r="D50" s="50">
        <v>75362</v>
      </c>
      <c r="E50" s="50">
        <v>85983</v>
      </c>
      <c r="F50" s="50">
        <v>98966</v>
      </c>
      <c r="G50" s="50">
        <v>118130</v>
      </c>
      <c r="H50" s="50">
        <v>137547</v>
      </c>
      <c r="I50" s="50"/>
      <c r="J50" s="50"/>
      <c r="K50" s="50"/>
      <c r="L50" s="50"/>
      <c r="M50" s="50"/>
      <c r="N50" s="50"/>
      <c r="O50" s="50"/>
      <c r="P50" s="50"/>
      <c r="Q50" s="51"/>
    </row>
    <row r="51" spans="2:17" x14ac:dyDescent="0.35">
      <c r="B51" s="48">
        <v>9.7000000000000003E-2</v>
      </c>
      <c r="C51" s="50">
        <v>72939</v>
      </c>
      <c r="D51" s="50">
        <v>79732</v>
      </c>
      <c r="E51" s="50">
        <v>89869</v>
      </c>
      <c r="F51" s="50">
        <v>102399</v>
      </c>
      <c r="G51" s="50">
        <v>121753</v>
      </c>
      <c r="H51" s="50">
        <v>141374</v>
      </c>
      <c r="I51" s="50"/>
      <c r="J51" s="50"/>
      <c r="K51" s="50"/>
      <c r="L51" s="50"/>
      <c r="M51" s="50"/>
      <c r="N51" s="50"/>
      <c r="O51" s="50"/>
      <c r="P51" s="50"/>
      <c r="Q51" s="51"/>
    </row>
    <row r="52" spans="2:17" x14ac:dyDescent="0.35">
      <c r="B52" s="48">
        <v>0.1036</v>
      </c>
      <c r="C52" s="50">
        <v>77129</v>
      </c>
      <c r="D52" s="50">
        <v>83508</v>
      </c>
      <c r="E52" s="50">
        <v>93118</v>
      </c>
      <c r="F52" s="50">
        <v>105117</v>
      </c>
      <c r="G52" s="50">
        <v>124526</v>
      </c>
      <c r="H52" s="50">
        <v>144211</v>
      </c>
      <c r="I52" s="50"/>
      <c r="J52" s="50"/>
      <c r="K52" s="50"/>
      <c r="L52" s="50"/>
      <c r="M52" s="50"/>
      <c r="N52" s="50"/>
      <c r="O52" s="50"/>
      <c r="P52" s="50"/>
      <c r="Q52" s="51"/>
    </row>
    <row r="53" spans="2:17" x14ac:dyDescent="0.35">
      <c r="B53" s="48">
        <v>0.1103</v>
      </c>
      <c r="C53" s="50">
        <v>80682</v>
      </c>
      <c r="D53" s="50">
        <v>86644</v>
      </c>
      <c r="E53" s="50">
        <v>95700</v>
      </c>
      <c r="F53" s="50">
        <v>107110</v>
      </c>
      <c r="G53" s="50">
        <v>126446</v>
      </c>
      <c r="H53" s="50">
        <v>146066</v>
      </c>
      <c r="I53" s="50"/>
      <c r="J53" s="50"/>
      <c r="K53" s="50"/>
      <c r="L53" s="50"/>
      <c r="M53" s="50"/>
      <c r="N53" s="50"/>
      <c r="O53" s="50"/>
      <c r="P53" s="50"/>
      <c r="Q53" s="51"/>
    </row>
    <row r="54" spans="2:17" x14ac:dyDescent="0.35">
      <c r="B54" s="48">
        <v>0.1169</v>
      </c>
      <c r="C54" s="50">
        <v>83565</v>
      </c>
      <c r="D54" s="50">
        <v>89112</v>
      </c>
      <c r="E54" s="50">
        <v>97599</v>
      </c>
      <c r="F54" s="50">
        <v>108381</v>
      </c>
      <c r="G54" s="50">
        <v>127529</v>
      </c>
      <c r="H54" s="50">
        <v>146964</v>
      </c>
      <c r="I54" s="50"/>
      <c r="J54" s="50"/>
      <c r="K54" s="50"/>
      <c r="L54" s="50"/>
      <c r="M54" s="50"/>
      <c r="N54" s="50"/>
      <c r="O54" s="50"/>
      <c r="P54" s="50"/>
      <c r="Q54" s="51"/>
    </row>
    <row r="55" spans="2:17" x14ac:dyDescent="0.35">
      <c r="B55" s="48">
        <v>0.1235</v>
      </c>
      <c r="C55" s="50">
        <v>85760</v>
      </c>
      <c r="D55" s="50">
        <v>90900</v>
      </c>
      <c r="E55" s="50">
        <v>98814</v>
      </c>
      <c r="F55" s="50">
        <v>108942</v>
      </c>
      <c r="G55" s="50">
        <v>127799</v>
      </c>
      <c r="H55" s="50">
        <v>146940</v>
      </c>
      <c r="I55" s="50"/>
      <c r="J55" s="50"/>
      <c r="K55" s="50"/>
      <c r="L55" s="50"/>
      <c r="M55" s="50"/>
      <c r="N55" s="50"/>
      <c r="O55" s="50"/>
      <c r="P55" s="50"/>
      <c r="Q55" s="51"/>
    </row>
    <row r="56" spans="2:17" x14ac:dyDescent="0.35">
      <c r="B56" s="48">
        <v>0.13020000000000001</v>
      </c>
      <c r="C56" s="50">
        <v>87219</v>
      </c>
      <c r="D56" s="50">
        <v>91960</v>
      </c>
      <c r="E56" s="50">
        <v>99302</v>
      </c>
      <c r="F56" s="50">
        <v>108759</v>
      </c>
      <c r="G56" s="50">
        <v>127221</v>
      </c>
      <c r="H56" s="50">
        <v>145963</v>
      </c>
      <c r="I56" s="50"/>
      <c r="J56" s="50"/>
      <c r="K56" s="50"/>
      <c r="L56" s="50"/>
      <c r="M56" s="50"/>
      <c r="N56" s="50"/>
      <c r="O56" s="50"/>
      <c r="P56" s="50"/>
      <c r="Q56" s="51"/>
    </row>
    <row r="57" spans="2:17" x14ac:dyDescent="0.35">
      <c r="B57" s="48">
        <v>0.1368</v>
      </c>
      <c r="C57" s="50">
        <v>87823</v>
      </c>
      <c r="D57" s="50">
        <v>92172</v>
      </c>
      <c r="E57" s="50">
        <v>98939</v>
      </c>
      <c r="F57" s="50">
        <v>107710</v>
      </c>
      <c r="G57" s="50">
        <v>125658</v>
      </c>
      <c r="H57" s="50">
        <v>143879</v>
      </c>
      <c r="I57" s="50"/>
      <c r="J57" s="50"/>
      <c r="K57" s="50"/>
      <c r="L57" s="50"/>
      <c r="M57" s="50"/>
      <c r="N57" s="50"/>
      <c r="O57" s="50"/>
      <c r="P57" s="50"/>
      <c r="Q57" s="51"/>
    </row>
    <row r="58" spans="2:17" x14ac:dyDescent="0.35">
      <c r="B58" s="48">
        <v>0.14349999999999999</v>
      </c>
      <c r="C58" s="50">
        <v>87452</v>
      </c>
      <c r="D58" s="50">
        <v>91411</v>
      </c>
      <c r="E58" s="50">
        <v>97600</v>
      </c>
      <c r="F58" s="50">
        <v>105666</v>
      </c>
      <c r="G58" s="50">
        <v>122969</v>
      </c>
      <c r="H58" s="50">
        <v>140533</v>
      </c>
      <c r="I58" s="50"/>
      <c r="J58" s="50"/>
      <c r="K58" s="50"/>
      <c r="L58" s="50"/>
      <c r="M58" s="50"/>
      <c r="N58" s="50"/>
      <c r="O58" s="50"/>
      <c r="P58" s="50"/>
      <c r="Q58" s="51"/>
    </row>
    <row r="59" spans="2:17" x14ac:dyDescent="0.35">
      <c r="B59" s="48">
        <v>0.15010000000000001</v>
      </c>
      <c r="C59" s="50">
        <v>86073</v>
      </c>
      <c r="D59" s="50">
        <v>89648</v>
      </c>
      <c r="E59" s="50">
        <v>95261</v>
      </c>
      <c r="F59" s="50">
        <v>102611</v>
      </c>
      <c r="G59" s="50">
        <v>119139</v>
      </c>
      <c r="H59" s="50">
        <v>135914</v>
      </c>
      <c r="I59" s="50"/>
      <c r="J59" s="50"/>
      <c r="K59" s="50"/>
      <c r="L59" s="50"/>
      <c r="M59" s="50"/>
      <c r="N59" s="50"/>
      <c r="O59" s="50"/>
      <c r="P59" s="50"/>
      <c r="Q59" s="51"/>
    </row>
    <row r="60" spans="2:17" x14ac:dyDescent="0.35">
      <c r="B60" s="48">
        <v>0.15679999999999999</v>
      </c>
      <c r="C60" s="50">
        <v>83721</v>
      </c>
      <c r="D60" s="50">
        <v>86922</v>
      </c>
      <c r="E60" s="50">
        <v>91967</v>
      </c>
      <c r="F60" s="50">
        <v>98603</v>
      </c>
      <c r="G60" s="50">
        <v>114240</v>
      </c>
      <c r="H60" s="50">
        <v>130108</v>
      </c>
      <c r="I60" s="50"/>
      <c r="J60" s="50"/>
      <c r="K60" s="50"/>
      <c r="L60" s="50"/>
      <c r="M60" s="50"/>
      <c r="N60" s="50"/>
      <c r="O60" s="50"/>
      <c r="P60" s="50"/>
      <c r="Q60" s="51"/>
    </row>
    <row r="61" spans="2:17" x14ac:dyDescent="0.35">
      <c r="B61" s="48">
        <v>0.16339999999999999</v>
      </c>
      <c r="C61" s="50">
        <v>80335</v>
      </c>
      <c r="D61" s="50">
        <v>83172</v>
      </c>
      <c r="E61" s="50">
        <v>87657</v>
      </c>
      <c r="F61" s="50">
        <v>93582</v>
      </c>
      <c r="G61" s="50">
        <v>108207</v>
      </c>
      <c r="H61" s="50">
        <v>123044</v>
      </c>
      <c r="I61" s="50"/>
      <c r="J61" s="50"/>
      <c r="K61" s="50"/>
      <c r="L61" s="50"/>
      <c r="M61" s="50"/>
      <c r="N61" s="50"/>
      <c r="O61" s="50"/>
      <c r="P61" s="50"/>
      <c r="Q61" s="51"/>
    </row>
    <row r="62" spans="2:17" x14ac:dyDescent="0.35">
      <c r="B62" s="48">
        <v>0.1701</v>
      </c>
      <c r="C62" s="50">
        <v>75478</v>
      </c>
      <c r="D62" s="50">
        <v>77946</v>
      </c>
      <c r="E62" s="50">
        <v>81861</v>
      </c>
      <c r="F62" s="50">
        <v>87052</v>
      </c>
      <c r="G62" s="50">
        <v>100470</v>
      </c>
      <c r="H62" s="50">
        <v>114079</v>
      </c>
      <c r="I62" s="50"/>
      <c r="J62" s="50"/>
      <c r="K62" s="50"/>
      <c r="L62" s="50"/>
      <c r="M62" s="50"/>
      <c r="N62" s="50"/>
      <c r="O62" s="50"/>
      <c r="P62" s="50"/>
      <c r="Q62" s="51"/>
    </row>
    <row r="63" spans="2:17" x14ac:dyDescent="0.35">
      <c r="B63" s="48">
        <v>0.1767</v>
      </c>
      <c r="C63" s="50">
        <v>68589</v>
      </c>
      <c r="D63" s="50">
        <v>70671</v>
      </c>
      <c r="E63" s="50">
        <v>73984</v>
      </c>
      <c r="F63" s="50">
        <v>78392</v>
      </c>
      <c r="G63" s="50">
        <v>90319</v>
      </c>
      <c r="H63" s="50">
        <v>102413</v>
      </c>
      <c r="I63" s="50"/>
      <c r="J63" s="50"/>
      <c r="K63" s="50"/>
      <c r="L63" s="50"/>
      <c r="M63" s="50"/>
      <c r="N63" s="50"/>
      <c r="O63" s="50"/>
      <c r="P63" s="50"/>
      <c r="Q63" s="51"/>
    </row>
    <row r="64" spans="2:17" x14ac:dyDescent="0.35">
      <c r="B64" s="48">
        <v>0.18340000000000001</v>
      </c>
      <c r="C64" s="50">
        <v>59318</v>
      </c>
      <c r="D64" s="50">
        <v>60993</v>
      </c>
      <c r="E64" s="50">
        <v>63667</v>
      </c>
      <c r="F64" s="50">
        <v>67236</v>
      </c>
      <c r="G64" s="50">
        <v>77342</v>
      </c>
      <c r="H64" s="50">
        <v>87585</v>
      </c>
      <c r="I64" s="50"/>
      <c r="J64" s="50"/>
      <c r="K64" s="50"/>
      <c r="L64" s="50"/>
      <c r="M64" s="50"/>
      <c r="N64" s="50"/>
      <c r="O64" s="50"/>
      <c r="P64" s="50"/>
      <c r="Q64" s="51"/>
    </row>
    <row r="65" spans="2:17" x14ac:dyDescent="0.35">
      <c r="B65" s="48">
        <v>0.19</v>
      </c>
      <c r="C65" s="50">
        <v>47617</v>
      </c>
      <c r="D65" s="50">
        <v>48872</v>
      </c>
      <c r="E65" s="50">
        <v>50879</v>
      </c>
      <c r="F65" s="50">
        <v>53568</v>
      </c>
      <c r="G65" s="50">
        <v>61526</v>
      </c>
      <c r="H65" s="50">
        <v>69592</v>
      </c>
      <c r="I65" s="50"/>
      <c r="J65" s="50"/>
      <c r="K65" s="50"/>
      <c r="L65" s="50"/>
      <c r="M65" s="50"/>
      <c r="N65" s="50"/>
      <c r="O65" s="50"/>
      <c r="P65" s="50"/>
      <c r="Q65" s="51"/>
    </row>
    <row r="66" spans="2:17" ht="15" thickBot="1" x14ac:dyDescent="0.4">
      <c r="B66" s="60">
        <v>0.19670000000000001</v>
      </c>
      <c r="C66" s="55">
        <v>33458</v>
      </c>
      <c r="D66" s="55">
        <v>34285</v>
      </c>
      <c r="E66" s="55">
        <v>35609</v>
      </c>
      <c r="F66" s="55">
        <v>37388</v>
      </c>
      <c r="G66" s="55">
        <v>42884</v>
      </c>
      <c r="H66" s="55">
        <v>48451</v>
      </c>
      <c r="I66" s="55"/>
      <c r="J66" s="55"/>
      <c r="K66" s="55"/>
      <c r="L66" s="55"/>
      <c r="M66" s="55"/>
      <c r="N66" s="55"/>
      <c r="O66" s="55"/>
      <c r="P66" s="55"/>
      <c r="Q66" s="5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AJ66"/>
  <sheetViews>
    <sheetView zoomScaleNormal="100" workbookViewId="0">
      <selection activeCell="C5" sqref="C5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5" t="s">
        <v>114</v>
      </c>
      <c r="C1" s="46"/>
      <c r="D1" s="46"/>
      <c r="E1" s="46"/>
      <c r="F1" s="46"/>
      <c r="G1" s="46"/>
      <c r="H1" s="46" t="s">
        <v>38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14</v>
      </c>
      <c r="N1" s="47" t="s">
        <v>16</v>
      </c>
      <c r="P1" s="45" t="s">
        <v>104</v>
      </c>
      <c r="Q1" s="46"/>
      <c r="R1" s="46"/>
      <c r="S1" s="47"/>
      <c r="U1" s="45" t="s">
        <v>67</v>
      </c>
      <c r="V1" s="46"/>
      <c r="W1" s="46" t="s">
        <v>68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</row>
    <row r="2" spans="2:36" x14ac:dyDescent="0.35">
      <c r="B2" s="48" t="s">
        <v>21</v>
      </c>
      <c r="C2" s="49">
        <v>0.44</v>
      </c>
      <c r="D2" s="50"/>
      <c r="E2" s="50"/>
      <c r="F2" s="50"/>
      <c r="G2" s="50"/>
      <c r="H2" s="50" t="s">
        <v>60</v>
      </c>
      <c r="I2" s="50">
        <f t="array" ref="I2:N2">LINEST($C$8:$C$27,$B$8:$B$27^{1,2,3,4,5})</f>
        <v>-14.201756990851802</v>
      </c>
      <c r="J2" s="50">
        <v>30.429869613536127</v>
      </c>
      <c r="K2" s="50">
        <v>-26.352270997228061</v>
      </c>
      <c r="L2" s="50">
        <v>9.6155016512522664</v>
      </c>
      <c r="M2" s="50">
        <v>0.48050099068191032</v>
      </c>
      <c r="N2" s="51">
        <v>8.5588397349980472E-3</v>
      </c>
      <c r="P2" s="52" t="s">
        <v>110</v>
      </c>
      <c r="Q2" s="49" t="s">
        <v>111</v>
      </c>
      <c r="R2" s="49" t="s">
        <v>83</v>
      </c>
      <c r="S2" s="51"/>
      <c r="U2" s="48" t="s">
        <v>74</v>
      </c>
      <c r="V2" s="50">
        <v>20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1"/>
    </row>
    <row r="3" spans="2:36" x14ac:dyDescent="0.35">
      <c r="B3" s="48" t="s">
        <v>34</v>
      </c>
      <c r="C3" s="49">
        <f>B24</f>
        <v>0.71450000000000002</v>
      </c>
      <c r="D3" s="50"/>
      <c r="E3" s="50"/>
      <c r="F3" s="50"/>
      <c r="G3" s="50"/>
      <c r="H3" s="50"/>
      <c r="I3" s="50" t="s">
        <v>7</v>
      </c>
      <c r="J3" s="50" t="s">
        <v>8</v>
      </c>
      <c r="K3" s="50" t="s">
        <v>9</v>
      </c>
      <c r="L3" s="50" t="s">
        <v>10</v>
      </c>
      <c r="M3" s="50" t="s">
        <v>14</v>
      </c>
      <c r="N3" s="51" t="s">
        <v>16</v>
      </c>
      <c r="P3" s="69"/>
      <c r="Q3" s="65"/>
      <c r="R3" s="65"/>
      <c r="S3" s="51"/>
      <c r="U3" s="48" t="s">
        <v>69</v>
      </c>
      <c r="V3" s="61">
        <f>133.332*EXP(20.386-5132/($V$2+273.15))</f>
        <v>2374.2721715276289</v>
      </c>
      <c r="W3" s="61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1"/>
    </row>
    <row r="4" spans="2:36" x14ac:dyDescent="0.35">
      <c r="B4" s="48" t="s">
        <v>39</v>
      </c>
      <c r="C4" s="49">
        <f>B27</f>
        <v>0.84846999999999995</v>
      </c>
      <c r="D4" s="50"/>
      <c r="E4" s="50"/>
      <c r="F4" s="50"/>
      <c r="G4" s="50"/>
      <c r="H4" s="50" t="s">
        <v>51</v>
      </c>
      <c r="I4" s="50">
        <f t="array" ref="I4:N4">LINEST($E$8:$E$27,$B$8:$B$27^{1,2,3,4,5})</f>
        <v>0.99731589896874207</v>
      </c>
      <c r="J4" s="50">
        <v>-2.1705126415233886</v>
      </c>
      <c r="K4" s="50">
        <v>1.4948226955244681</v>
      </c>
      <c r="L4" s="50">
        <v>-0.34860165623382844</v>
      </c>
      <c r="M4" s="50">
        <v>1.8442690459778383E-2</v>
      </c>
      <c r="N4" s="51">
        <v>1.2825347898606232E-2</v>
      </c>
      <c r="P4" s="69"/>
      <c r="Q4" s="65"/>
      <c r="R4" s="65"/>
      <c r="S4" s="51"/>
      <c r="U4" s="48" t="s">
        <v>73</v>
      </c>
      <c r="V4" s="50">
        <f>101325+$V$5*$V$7*$V$6</f>
        <v>105245.20833749999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</row>
    <row r="5" spans="2:36" x14ac:dyDescent="0.35">
      <c r="B5" s="48" t="s">
        <v>24</v>
      </c>
      <c r="C5" s="50">
        <f>LARGE(C8:C91,1)/100000</f>
        <v>0.87822999999999996</v>
      </c>
      <c r="D5" s="50"/>
      <c r="E5" s="50"/>
      <c r="F5" s="50"/>
      <c r="G5" s="50"/>
      <c r="H5" s="50"/>
      <c r="I5" s="50" t="s">
        <v>7</v>
      </c>
      <c r="J5" s="50" t="s">
        <v>8</v>
      </c>
      <c r="K5" s="50" t="s">
        <v>9</v>
      </c>
      <c r="L5" s="50" t="s">
        <v>10</v>
      </c>
      <c r="M5" s="50" t="s">
        <v>14</v>
      </c>
      <c r="N5" s="51" t="s">
        <v>16</v>
      </c>
      <c r="P5" s="69"/>
      <c r="Q5" s="65"/>
      <c r="R5" s="65"/>
      <c r="S5" s="51"/>
      <c r="U5" s="48" t="s">
        <v>72</v>
      </c>
      <c r="V5" s="50">
        <v>1025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9"/>
    </row>
    <row r="6" spans="2:36" x14ac:dyDescent="0.35">
      <c r="B6" s="48"/>
      <c r="C6" s="50"/>
      <c r="D6" s="50"/>
      <c r="E6" s="50"/>
      <c r="F6" s="50"/>
      <c r="G6" s="50"/>
      <c r="H6" s="50" t="s">
        <v>52</v>
      </c>
      <c r="I6" s="50">
        <f t="array" ref="I6:N6">LINEST($D$8:$D$27,$B$8:$B$27^{1,2,3,4,5})</f>
        <v>1.5353633869491614</v>
      </c>
      <c r="J6" s="50">
        <v>-3.0963492572474478</v>
      </c>
      <c r="K6" s="50">
        <v>1.935966567412206</v>
      </c>
      <c r="L6" s="50">
        <v>-0.41388694413667165</v>
      </c>
      <c r="M6" s="50">
        <v>3.9220453149659315E-2</v>
      </c>
      <c r="N6" s="51">
        <v>1.5603864978435134E-2</v>
      </c>
      <c r="P6" s="69"/>
      <c r="Q6" s="65"/>
      <c r="R6" s="65"/>
      <c r="S6" s="51"/>
      <c r="U6" s="48" t="s">
        <v>70</v>
      </c>
      <c r="V6" s="50">
        <v>0.39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9"/>
    </row>
    <row r="7" spans="2:36" x14ac:dyDescent="0.35">
      <c r="B7" s="48" t="s">
        <v>0</v>
      </c>
      <c r="C7" s="50" t="s">
        <v>15</v>
      </c>
      <c r="D7" s="50" t="s">
        <v>50</v>
      </c>
      <c r="E7" s="50" t="s">
        <v>49</v>
      </c>
      <c r="F7" s="50"/>
      <c r="G7" s="50"/>
      <c r="H7" s="50"/>
      <c r="I7" s="50"/>
      <c r="J7" s="50"/>
      <c r="K7" s="50"/>
      <c r="L7" s="50"/>
      <c r="M7" s="50"/>
      <c r="N7" s="51"/>
      <c r="P7" s="69"/>
      <c r="Q7" s="65"/>
      <c r="R7" s="65"/>
      <c r="S7" s="51"/>
      <c r="U7" s="48" t="s">
        <v>71</v>
      </c>
      <c r="V7" s="50">
        <v>9.8066499999999994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x14ac:dyDescent="0.35">
      <c r="B8">
        <v>0</v>
      </c>
      <c r="C8">
        <v>0</v>
      </c>
      <c r="D8" s="68">
        <v>1.6070000000000001E-2</v>
      </c>
      <c r="E8" s="68">
        <v>1.316E-2</v>
      </c>
      <c r="F8" s="50"/>
      <c r="G8" s="50"/>
      <c r="H8" s="50"/>
      <c r="I8" s="50"/>
      <c r="J8" s="50"/>
      <c r="K8" s="50"/>
      <c r="L8" s="50"/>
      <c r="M8" s="50"/>
      <c r="N8" s="51"/>
      <c r="P8" s="69"/>
      <c r="Q8" s="65"/>
      <c r="R8" s="65"/>
      <c r="S8" s="51"/>
      <c r="U8" s="48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1"/>
    </row>
    <row r="9" spans="2:36" x14ac:dyDescent="0.35">
      <c r="B9">
        <v>4.4659999999999998E-2</v>
      </c>
      <c r="C9">
        <v>5.6800000000000003E-2</v>
      </c>
      <c r="D9" s="68">
        <v>1.6160000000000001E-2</v>
      </c>
      <c r="E9" s="68">
        <v>1.2699999999999999E-2</v>
      </c>
      <c r="F9" s="50"/>
      <c r="G9" s="50"/>
      <c r="H9" s="50"/>
      <c r="I9" s="50"/>
      <c r="J9" s="50"/>
      <c r="K9" s="50"/>
      <c r="L9" s="50"/>
      <c r="M9" s="50"/>
      <c r="N9" s="51"/>
      <c r="P9" s="69"/>
      <c r="Q9" s="65"/>
      <c r="R9" s="65"/>
      <c r="S9" s="51"/>
      <c r="U9" s="48"/>
      <c r="V9" s="50"/>
      <c r="W9" s="50"/>
      <c r="X9" s="50"/>
      <c r="Y9" s="50" t="s">
        <v>109</v>
      </c>
      <c r="Z9" s="50">
        <v>0.22</v>
      </c>
      <c r="AA9" s="50"/>
      <c r="AB9" s="50"/>
      <c r="AC9" s="50"/>
      <c r="AD9" s="50"/>
      <c r="AE9" s="50"/>
      <c r="AF9" s="50"/>
      <c r="AG9" s="50"/>
      <c r="AH9" s="50"/>
      <c r="AI9" s="50"/>
      <c r="AJ9" s="51"/>
    </row>
    <row r="10" spans="2:36" x14ac:dyDescent="0.35">
      <c r="B10">
        <v>8.931E-2</v>
      </c>
      <c r="C10">
        <v>0.1201</v>
      </c>
      <c r="D10" s="68">
        <v>1.6480000000000002E-2</v>
      </c>
      <c r="E10" s="68">
        <v>1.226E-2</v>
      </c>
      <c r="F10" s="49"/>
      <c r="G10" s="49"/>
      <c r="H10" s="50"/>
      <c r="I10" s="50"/>
      <c r="J10" s="49"/>
      <c r="K10" s="50"/>
      <c r="L10" s="50"/>
      <c r="M10" s="50"/>
      <c r="N10" s="51"/>
      <c r="P10" s="69"/>
      <c r="Q10" s="65"/>
      <c r="R10" s="65"/>
      <c r="S10" s="59"/>
      <c r="T10" t="s">
        <v>6</v>
      </c>
      <c r="U10" s="48" t="s">
        <v>77</v>
      </c>
      <c r="V10" s="50" t="s">
        <v>78</v>
      </c>
      <c r="W10" s="50" t="s">
        <v>79</v>
      </c>
      <c r="X10" s="50" t="s">
        <v>80</v>
      </c>
      <c r="Y10" s="50" t="s">
        <v>76</v>
      </c>
      <c r="Z10" s="50" t="s">
        <v>86</v>
      </c>
      <c r="AA10" s="50" t="s">
        <v>87</v>
      </c>
      <c r="AB10" s="50" t="s">
        <v>76</v>
      </c>
      <c r="AC10" s="50"/>
      <c r="AD10" s="50"/>
      <c r="AE10" s="50"/>
      <c r="AF10" s="50"/>
      <c r="AG10" s="50"/>
      <c r="AH10" s="50"/>
      <c r="AI10" s="50"/>
      <c r="AJ10" s="51"/>
    </row>
    <row r="11" spans="2:36" x14ac:dyDescent="0.35">
      <c r="B11">
        <v>0.13397000000000001</v>
      </c>
      <c r="C11">
        <v>0.19189999999999999</v>
      </c>
      <c r="D11" s="68">
        <v>1.7080000000000001E-2</v>
      </c>
      <c r="E11" s="68">
        <v>1.192E-2</v>
      </c>
      <c r="F11" s="49"/>
      <c r="G11" s="49"/>
      <c r="H11" s="50"/>
      <c r="I11" s="50"/>
      <c r="J11" s="49"/>
      <c r="K11" s="50"/>
      <c r="L11" s="50"/>
      <c r="M11" s="50"/>
      <c r="N11" s="51"/>
      <c r="P11" s="69"/>
      <c r="Q11" s="65"/>
      <c r="R11" s="65"/>
      <c r="S11" s="51"/>
      <c r="T11">
        <v>343</v>
      </c>
      <c r="U11" s="48">
        <v>1</v>
      </c>
      <c r="V11" s="62">
        <f>T11*PI()/30</f>
        <v>35.918876006043305</v>
      </c>
      <c r="W11" s="63">
        <f>V11*$Z$9</f>
        <v>7.9021527213295268</v>
      </c>
      <c r="X11" s="63">
        <f t="shared" ref="X11:X16" si="0">SQRT(W11^2+U11^2)</f>
        <v>7.9651753044873814</v>
      </c>
      <c r="Y11" s="63">
        <f t="shared" ref="Y11:Y16" si="1">($V$3-$V$4-$V$5*$V$6*$V$7)/(0.5*$V$5*X11^2)</f>
        <v>-3.2843595450723901</v>
      </c>
      <c r="Z11" s="63">
        <f>0.69375*$Z$9*V11</f>
        <v>5.4821184504223588</v>
      </c>
      <c r="AA11" s="63">
        <f t="shared" ref="AA11:AA16" si="2">SQRT(Z11^2+U11^2)</f>
        <v>5.5725777432406671</v>
      </c>
      <c r="AB11" s="63">
        <f t="shared" ref="AB11:AB16" si="3">($V$3-$V$4-$V$5*$V$6*$V$7)/(0.5*$V$5*AA11^2)</f>
        <v>-6.7101016479757991</v>
      </c>
      <c r="AC11" s="50"/>
      <c r="AD11" s="50"/>
      <c r="AE11" s="50"/>
      <c r="AF11" s="50"/>
      <c r="AG11" s="50"/>
      <c r="AH11" s="50"/>
      <c r="AI11" s="50"/>
      <c r="AJ11" s="51"/>
    </row>
    <row r="12" spans="2:36" x14ac:dyDescent="0.35">
      <c r="B12">
        <v>0.17863000000000001</v>
      </c>
      <c r="C12">
        <v>0.2727</v>
      </c>
      <c r="D12" s="68">
        <v>1.7950000000000001E-2</v>
      </c>
      <c r="E12" s="68">
        <v>1.175E-2</v>
      </c>
      <c r="F12" s="49"/>
      <c r="G12" s="49"/>
      <c r="H12" s="50"/>
      <c r="I12" s="50"/>
      <c r="J12" s="49"/>
      <c r="K12" s="50"/>
      <c r="L12" s="50"/>
      <c r="M12" s="50"/>
      <c r="N12" s="51"/>
      <c r="P12" s="69"/>
      <c r="Q12" s="65"/>
      <c r="R12" s="65"/>
      <c r="S12" s="51"/>
      <c r="T12">
        <v>343</v>
      </c>
      <c r="U12" s="48">
        <v>2</v>
      </c>
      <c r="V12" s="62">
        <f t="shared" ref="V12:V16" si="4">T12*PI()/30</f>
        <v>35.918876006043305</v>
      </c>
      <c r="W12" s="63">
        <f t="shared" ref="W12:W16" si="5">V12*$Z$9</f>
        <v>7.9021527213295268</v>
      </c>
      <c r="X12" s="63">
        <f t="shared" si="0"/>
        <v>8.1513199931799782</v>
      </c>
      <c r="Y12" s="63">
        <f t="shared" si="1"/>
        <v>-3.1360681113739535</v>
      </c>
      <c r="Z12" s="63">
        <f t="shared" ref="Z12:Z16" si="6">0.69375*$Z$9*V12</f>
        <v>5.4821184504223588</v>
      </c>
      <c r="AA12" s="63">
        <f t="shared" si="2"/>
        <v>5.8355481922833308</v>
      </c>
      <c r="AB12" s="63">
        <f t="shared" si="3"/>
        <v>-6.1189661579684413</v>
      </c>
      <c r="AC12" s="50"/>
      <c r="AD12" s="50"/>
      <c r="AE12" s="50"/>
      <c r="AF12" s="50"/>
      <c r="AG12" s="50"/>
      <c r="AH12" s="50"/>
      <c r="AI12" s="50"/>
      <c r="AJ12" s="51"/>
    </row>
    <row r="13" spans="2:36" x14ac:dyDescent="0.35">
      <c r="B13">
        <v>0.22328000000000001</v>
      </c>
      <c r="C13">
        <v>0.36049999999999999</v>
      </c>
      <c r="D13" s="68">
        <v>1.9040000000000001E-2</v>
      </c>
      <c r="E13" s="68">
        <v>1.179E-2</v>
      </c>
      <c r="F13" s="49"/>
      <c r="G13" s="49"/>
      <c r="H13" s="50"/>
      <c r="I13" s="50"/>
      <c r="J13" s="49"/>
      <c r="K13" s="50"/>
      <c r="L13" s="50"/>
      <c r="M13" s="50"/>
      <c r="N13" s="51"/>
      <c r="P13" s="69"/>
      <c r="Q13" s="65"/>
      <c r="R13" s="65"/>
      <c r="S13" s="51"/>
      <c r="T13">
        <v>343</v>
      </c>
      <c r="U13" s="48">
        <v>3</v>
      </c>
      <c r="V13" s="62">
        <f t="shared" si="4"/>
        <v>35.918876006043305</v>
      </c>
      <c r="W13" s="63">
        <f t="shared" si="5"/>
        <v>7.9021527213295268</v>
      </c>
      <c r="X13" s="63">
        <f t="shared" si="0"/>
        <v>8.4524563075602845</v>
      </c>
      <c r="Y13" s="63">
        <f t="shared" si="1"/>
        <v>-2.9165908048511096</v>
      </c>
      <c r="Z13" s="63">
        <f t="shared" si="6"/>
        <v>5.4821184504223588</v>
      </c>
      <c r="AA13" s="63">
        <f t="shared" si="2"/>
        <v>6.24928977600345</v>
      </c>
      <c r="AB13" s="63">
        <f t="shared" si="3"/>
        <v>-5.3355604539350683</v>
      </c>
      <c r="AC13" s="50"/>
      <c r="AD13" s="50"/>
      <c r="AE13" s="50"/>
      <c r="AF13" s="50"/>
      <c r="AG13" s="50"/>
      <c r="AH13" s="50"/>
      <c r="AI13" s="50"/>
      <c r="AJ13" s="51"/>
    </row>
    <row r="14" spans="2:36" ht="15" thickBot="1" x14ac:dyDescent="0.4">
      <c r="B14">
        <v>0.26794000000000001</v>
      </c>
      <c r="C14">
        <v>0.45150000000000001</v>
      </c>
      <c r="D14" s="68">
        <v>2.0310000000000002E-2</v>
      </c>
      <c r="E14" s="68">
        <v>1.205E-2</v>
      </c>
      <c r="F14" s="49"/>
      <c r="G14" s="49"/>
      <c r="H14" s="50"/>
      <c r="I14" s="50"/>
      <c r="J14" s="49"/>
      <c r="K14" s="50"/>
      <c r="L14" s="50"/>
      <c r="M14" s="50"/>
      <c r="N14" s="51"/>
      <c r="P14" s="60"/>
      <c r="Q14" s="55"/>
      <c r="R14" s="55"/>
      <c r="S14" s="56"/>
      <c r="T14">
        <v>343</v>
      </c>
      <c r="U14" s="48">
        <v>4</v>
      </c>
      <c r="V14" s="62">
        <f t="shared" si="4"/>
        <v>35.918876006043305</v>
      </c>
      <c r="W14" s="63">
        <f t="shared" si="5"/>
        <v>7.9021527213295268</v>
      </c>
      <c r="X14" s="63">
        <f t="shared" si="0"/>
        <v>8.8568627420331882</v>
      </c>
      <c r="Y14" s="63">
        <f t="shared" si="1"/>
        <v>-2.6563270364916285</v>
      </c>
      <c r="Z14" s="63">
        <f t="shared" si="6"/>
        <v>5.4821184504223588</v>
      </c>
      <c r="AA14" s="63">
        <f t="shared" si="2"/>
        <v>6.7862819499679832</v>
      </c>
      <c r="AB14" s="63">
        <f t="shared" si="3"/>
        <v>-4.5245727186764588</v>
      </c>
      <c r="AC14" s="50"/>
      <c r="AD14" s="50"/>
      <c r="AE14" s="50"/>
      <c r="AF14" s="50"/>
      <c r="AG14" s="50"/>
      <c r="AH14" s="50"/>
      <c r="AI14" s="50"/>
      <c r="AJ14" s="51"/>
    </row>
    <row r="15" spans="2:36" x14ac:dyDescent="0.35">
      <c r="B15">
        <v>0.31258999999999998</v>
      </c>
      <c r="C15">
        <v>0.54090000000000005</v>
      </c>
      <c r="D15" s="68">
        <v>2.1700000000000001E-2</v>
      </c>
      <c r="E15" s="68">
        <v>1.2540000000000001E-2</v>
      </c>
      <c r="F15" s="49"/>
      <c r="G15" s="49"/>
      <c r="H15" s="50"/>
      <c r="I15" s="50"/>
      <c r="J15" s="49"/>
      <c r="K15" s="50"/>
      <c r="L15" s="50"/>
      <c r="M15" s="50"/>
      <c r="N15" s="51"/>
      <c r="T15">
        <v>343</v>
      </c>
      <c r="U15" s="48">
        <v>5</v>
      </c>
      <c r="V15" s="62">
        <f t="shared" si="4"/>
        <v>35.918876006043305</v>
      </c>
      <c r="W15" s="63">
        <f t="shared" si="5"/>
        <v>7.9021527213295268</v>
      </c>
      <c r="X15" s="63">
        <f t="shared" si="0"/>
        <v>9.3511506046697619</v>
      </c>
      <c r="Y15" s="63">
        <f t="shared" si="1"/>
        <v>-2.3829299079510657</v>
      </c>
      <c r="Z15" s="63">
        <f t="shared" si="6"/>
        <v>5.4821184504223588</v>
      </c>
      <c r="AA15" s="63">
        <f t="shared" si="2"/>
        <v>7.4198128483447103</v>
      </c>
      <c r="AB15" s="63">
        <f t="shared" si="3"/>
        <v>-3.7849092330110863</v>
      </c>
      <c r="AC15" s="50"/>
      <c r="AD15" s="50"/>
      <c r="AE15" s="50"/>
      <c r="AF15" s="64"/>
      <c r="AG15" s="64"/>
      <c r="AH15" s="50"/>
      <c r="AI15" s="50"/>
      <c r="AJ15" s="51"/>
    </row>
    <row r="16" spans="2:36" x14ac:dyDescent="0.35">
      <c r="B16">
        <v>0.35725000000000001</v>
      </c>
      <c r="C16">
        <v>0.624</v>
      </c>
      <c r="D16" s="68">
        <v>2.3179999999999999E-2</v>
      </c>
      <c r="E16" s="68">
        <v>1.3270000000000001E-2</v>
      </c>
      <c r="F16" s="49"/>
      <c r="G16" s="49"/>
      <c r="H16" s="50"/>
      <c r="I16" s="50"/>
      <c r="J16" s="49"/>
      <c r="K16" s="50"/>
      <c r="L16" s="50"/>
      <c r="M16" s="50"/>
      <c r="N16" s="51"/>
      <c r="T16">
        <v>343</v>
      </c>
      <c r="U16" s="48">
        <v>6</v>
      </c>
      <c r="V16" s="62">
        <f t="shared" si="4"/>
        <v>35.918876006043305</v>
      </c>
      <c r="W16" s="63">
        <f t="shared" si="5"/>
        <v>7.9021527213295268</v>
      </c>
      <c r="X16" s="63">
        <f t="shared" si="0"/>
        <v>9.9218958687952199</v>
      </c>
      <c r="Y16" s="63">
        <f t="shared" si="1"/>
        <v>-2.1166645764643297</v>
      </c>
      <c r="Z16" s="63">
        <f t="shared" si="6"/>
        <v>5.4821184504223588</v>
      </c>
      <c r="AA16" s="63">
        <f t="shared" si="2"/>
        <v>8.1273379838949271</v>
      </c>
      <c r="AB16" s="63">
        <f t="shared" si="3"/>
        <v>-3.1546031292958983</v>
      </c>
      <c r="AC16" s="50"/>
      <c r="AD16" s="50"/>
      <c r="AE16" s="50"/>
      <c r="AF16" s="64"/>
      <c r="AG16" s="64"/>
      <c r="AH16" s="50"/>
      <c r="AI16" s="50"/>
      <c r="AJ16" s="51"/>
    </row>
    <row r="17" spans="2:36" x14ac:dyDescent="0.35">
      <c r="B17">
        <v>0.40190999999999999</v>
      </c>
      <c r="C17">
        <v>0.69730000000000003</v>
      </c>
      <c r="D17" s="68">
        <v>2.469E-2</v>
      </c>
      <c r="E17" s="68">
        <v>1.423E-2</v>
      </c>
      <c r="F17" s="49"/>
      <c r="G17" s="49"/>
      <c r="H17" s="50"/>
      <c r="I17" s="50"/>
      <c r="J17" s="49"/>
      <c r="K17" s="50"/>
      <c r="L17" s="50"/>
      <c r="M17" s="50"/>
      <c r="N17" s="51"/>
      <c r="U17" s="48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1"/>
    </row>
    <row r="18" spans="2:36" x14ac:dyDescent="0.35">
      <c r="B18">
        <v>0.44656000000000001</v>
      </c>
      <c r="C18">
        <v>0.75890000000000002</v>
      </c>
      <c r="D18" s="68">
        <v>2.6210000000000001E-2</v>
      </c>
      <c r="E18" s="68">
        <v>1.542E-2</v>
      </c>
      <c r="F18" s="49"/>
      <c r="G18" s="49"/>
      <c r="H18" s="50"/>
      <c r="I18" s="50"/>
      <c r="J18" s="49"/>
      <c r="K18" s="50"/>
      <c r="L18" s="50"/>
      <c r="M18" s="50"/>
      <c r="N18" s="51"/>
      <c r="U18" s="48"/>
      <c r="V18" s="50"/>
      <c r="W18" s="50"/>
      <c r="X18" s="50"/>
      <c r="Y18" s="50"/>
      <c r="Z18" s="50"/>
      <c r="AA18" s="50"/>
      <c r="AB18" s="50">
        <f>0.7*Z9</f>
        <v>0.154</v>
      </c>
      <c r="AC18" s="50"/>
      <c r="AD18" s="50"/>
      <c r="AE18" s="50"/>
      <c r="AF18" s="50"/>
      <c r="AI18" s="50"/>
      <c r="AJ18" s="51"/>
    </row>
    <row r="19" spans="2:36" x14ac:dyDescent="0.35">
      <c r="B19">
        <v>0.49121999999999999</v>
      </c>
      <c r="C19">
        <v>0.80820000000000003</v>
      </c>
      <c r="D19" s="68">
        <v>2.7699999999999999E-2</v>
      </c>
      <c r="E19" s="68">
        <v>1.6830000000000001E-2</v>
      </c>
      <c r="F19" s="49"/>
      <c r="G19" s="49"/>
      <c r="H19" s="50"/>
      <c r="I19" s="50"/>
      <c r="J19" s="49"/>
      <c r="K19" s="50"/>
      <c r="L19" s="50"/>
      <c r="M19" s="50"/>
      <c r="N19" s="51"/>
      <c r="U19" s="48" t="s">
        <v>81</v>
      </c>
      <c r="V19" s="50" t="s">
        <v>63</v>
      </c>
      <c r="W19" s="50"/>
      <c r="X19" s="50"/>
      <c r="Y19" s="50"/>
      <c r="Z19" s="50"/>
      <c r="AA19" s="50"/>
      <c r="AB19" s="50" t="s">
        <v>88</v>
      </c>
      <c r="AC19" s="50"/>
      <c r="AD19" s="50"/>
      <c r="AE19" s="50"/>
      <c r="AF19" s="50"/>
      <c r="AG19" s="50"/>
      <c r="AH19" s="50"/>
      <c r="AI19" s="50"/>
      <c r="AJ19" s="51"/>
    </row>
    <row r="20" spans="2:36" x14ac:dyDescent="0.35">
      <c r="B20">
        <v>0.53588000000000002</v>
      </c>
      <c r="C20">
        <v>0.84619999999999995</v>
      </c>
      <c r="D20" s="68">
        <v>2.9139999999999999E-2</v>
      </c>
      <c r="E20" s="68">
        <v>1.8450000000000001E-2</v>
      </c>
      <c r="F20" s="49"/>
      <c r="G20" s="49"/>
      <c r="H20" s="50"/>
      <c r="I20" s="50"/>
      <c r="J20" s="49"/>
      <c r="K20" s="50"/>
      <c r="L20" s="50"/>
      <c r="M20" s="50"/>
      <c r="N20" s="51"/>
      <c r="U20" s="48" t="s">
        <v>77</v>
      </c>
      <c r="V20" s="50" t="s">
        <v>64</v>
      </c>
      <c r="W20" s="50" t="s">
        <v>95</v>
      </c>
      <c r="X20" s="50"/>
      <c r="Y20" s="50" t="s">
        <v>75</v>
      </c>
      <c r="Z20" s="50" t="s">
        <v>100</v>
      </c>
      <c r="AA20" s="50"/>
      <c r="AB20" s="50" t="s">
        <v>64</v>
      </c>
      <c r="AC20" s="50" t="s">
        <v>95</v>
      </c>
      <c r="AD20" s="50"/>
      <c r="AE20" s="50" t="s">
        <v>75</v>
      </c>
      <c r="AF20" s="50" t="s">
        <v>100</v>
      </c>
      <c r="AG20" s="50"/>
      <c r="AH20" s="50"/>
      <c r="AI20" s="50"/>
      <c r="AJ20" s="51"/>
    </row>
    <row r="21" spans="2:36" x14ac:dyDescent="0.35">
      <c r="B21">
        <v>0.58052999999999999</v>
      </c>
      <c r="C21">
        <v>0.90149999999999997</v>
      </c>
      <c r="D21" s="68">
        <v>2.8930000000000001E-2</v>
      </c>
      <c r="E21" s="68">
        <v>1.8630000000000001E-2</v>
      </c>
      <c r="F21" s="49"/>
      <c r="G21" s="49"/>
      <c r="H21" s="50"/>
      <c r="I21" s="50"/>
      <c r="J21" s="49"/>
      <c r="K21" s="50"/>
      <c r="L21" s="50"/>
      <c r="M21" s="50"/>
      <c r="N21" s="51"/>
      <c r="U21" s="48">
        <v>1</v>
      </c>
      <c r="V21" s="50"/>
      <c r="W21" s="50"/>
      <c r="X21" s="50"/>
      <c r="Y21" s="66"/>
      <c r="Z21" s="50" t="e">
        <f t="shared" ref="Z21:Z25" si="7">Y11/Y21</f>
        <v>#DIV/0!</v>
      </c>
      <c r="AA21" s="50"/>
      <c r="AB21" s="50"/>
      <c r="AC21" s="50"/>
      <c r="AD21" s="50"/>
      <c r="AE21" s="50"/>
      <c r="AF21" s="50" t="e">
        <f t="shared" ref="AF21:AF25" si="8">AB11/AE21</f>
        <v>#DIV/0!</v>
      </c>
      <c r="AG21" s="50"/>
      <c r="AH21" s="50"/>
      <c r="AI21" s="50"/>
      <c r="AJ21" s="51"/>
    </row>
    <row r="22" spans="2:36" x14ac:dyDescent="0.35">
      <c r="B22">
        <v>0.62519000000000002</v>
      </c>
      <c r="C22">
        <v>0.91439999999999999</v>
      </c>
      <c r="D22" s="68">
        <v>2.496E-2</v>
      </c>
      <c r="E22" s="68">
        <v>1.7069999999999998E-2</v>
      </c>
      <c r="F22" s="49"/>
      <c r="G22" s="49"/>
      <c r="H22" s="50"/>
      <c r="I22" s="50"/>
      <c r="J22" s="49"/>
      <c r="K22" s="50"/>
      <c r="L22" s="50"/>
      <c r="M22" s="50"/>
      <c r="N22" s="51"/>
      <c r="U22" s="48">
        <v>2</v>
      </c>
      <c r="V22" s="50"/>
      <c r="W22" s="50"/>
      <c r="X22" s="50"/>
      <c r="Y22" s="66"/>
      <c r="Z22" s="50" t="e">
        <f t="shared" si="7"/>
        <v>#DIV/0!</v>
      </c>
      <c r="AA22" s="50"/>
      <c r="AB22" s="50"/>
      <c r="AC22" s="50"/>
      <c r="AD22" s="50"/>
      <c r="AE22" s="50"/>
      <c r="AF22" s="50" t="e">
        <f t="shared" si="8"/>
        <v>#DIV/0!</v>
      </c>
      <c r="AG22" s="50"/>
      <c r="AH22" s="50"/>
      <c r="AI22" s="50"/>
      <c r="AJ22" s="51"/>
    </row>
    <row r="23" spans="2:36" x14ac:dyDescent="0.35">
      <c r="B23">
        <v>0.66983999999999999</v>
      </c>
      <c r="C23">
        <v>0.92300000000000004</v>
      </c>
      <c r="D23" s="68">
        <v>2.0920000000000001E-2</v>
      </c>
      <c r="E23" s="68">
        <v>1.5180000000000001E-2</v>
      </c>
      <c r="F23" s="49"/>
      <c r="G23" s="49"/>
      <c r="H23" s="50"/>
      <c r="I23" s="50"/>
      <c r="J23" s="49"/>
      <c r="K23" s="50"/>
      <c r="L23" s="50"/>
      <c r="M23" s="50"/>
      <c r="N23" s="51"/>
      <c r="U23" s="48">
        <v>3</v>
      </c>
      <c r="V23" s="50">
        <v>61028</v>
      </c>
      <c r="W23" s="50">
        <v>1.1371</v>
      </c>
      <c r="X23" s="50"/>
      <c r="Y23" s="66">
        <v>-2.5</v>
      </c>
      <c r="Z23" s="50">
        <f t="shared" si="7"/>
        <v>1.1666363219404439</v>
      </c>
      <c r="AA23" s="50"/>
      <c r="AB23" s="50"/>
      <c r="AC23" s="50"/>
      <c r="AD23" s="50"/>
      <c r="AE23" s="66"/>
      <c r="AF23" s="50" t="e">
        <f t="shared" si="8"/>
        <v>#DIV/0!</v>
      </c>
      <c r="AG23" s="50"/>
      <c r="AH23" s="50"/>
      <c r="AI23" s="50"/>
      <c r="AJ23" s="51"/>
    </row>
    <row r="24" spans="2:36" x14ac:dyDescent="0.35">
      <c r="B24">
        <v>0.71450000000000002</v>
      </c>
      <c r="C24">
        <v>0.92579999999999996</v>
      </c>
      <c r="D24" s="68">
        <v>1.6789999999999999E-2</v>
      </c>
      <c r="E24" s="68">
        <v>1.2959999999999999E-2</v>
      </c>
      <c r="F24" s="49"/>
      <c r="G24" s="49"/>
      <c r="H24" s="50"/>
      <c r="I24" s="50"/>
      <c r="J24" s="49"/>
      <c r="K24" s="50"/>
      <c r="L24" s="50"/>
      <c r="M24" s="50"/>
      <c r="N24" s="51"/>
      <c r="U24" s="48">
        <v>4</v>
      </c>
      <c r="V24" s="50"/>
      <c r="W24" s="50"/>
      <c r="X24" s="50"/>
      <c r="Y24" s="66"/>
      <c r="Z24" s="50" t="e">
        <f t="shared" si="7"/>
        <v>#DIV/0!</v>
      </c>
      <c r="AA24" s="50"/>
      <c r="AB24" s="50"/>
      <c r="AC24" s="50"/>
      <c r="AD24" s="50"/>
      <c r="AE24" s="66"/>
      <c r="AF24" s="50" t="e">
        <f t="shared" si="8"/>
        <v>#DIV/0!</v>
      </c>
      <c r="AG24" s="50"/>
      <c r="AH24" s="50"/>
      <c r="AI24" s="50"/>
      <c r="AJ24" s="51"/>
    </row>
    <row r="25" spans="2:36" x14ac:dyDescent="0.35">
      <c r="B25">
        <v>0.75915999999999995</v>
      </c>
      <c r="C25">
        <v>0.91790000000000005</v>
      </c>
      <c r="D25" s="68">
        <v>1.257E-2</v>
      </c>
      <c r="E25" s="68">
        <v>1.04E-2</v>
      </c>
      <c r="F25" s="49"/>
      <c r="G25" s="49"/>
      <c r="H25" s="50"/>
      <c r="I25" s="50"/>
      <c r="J25" s="49"/>
      <c r="K25" s="50"/>
      <c r="L25" s="50"/>
      <c r="M25" s="50"/>
      <c r="N25" s="51"/>
      <c r="U25" s="48">
        <v>5</v>
      </c>
      <c r="V25" s="50"/>
      <c r="W25" s="50"/>
      <c r="X25" s="50"/>
      <c r="Y25" s="50"/>
      <c r="Z25" s="50" t="e">
        <f t="shared" si="7"/>
        <v>#DIV/0!</v>
      </c>
      <c r="AA25" s="50"/>
      <c r="AB25" s="50"/>
      <c r="AC25" s="50"/>
      <c r="AD25" s="50"/>
      <c r="AE25" s="50"/>
      <c r="AF25" s="50" t="e">
        <f t="shared" si="8"/>
        <v>#DIV/0!</v>
      </c>
      <c r="AG25" s="50"/>
      <c r="AH25" s="50"/>
      <c r="AI25" s="50"/>
      <c r="AJ25" s="51"/>
    </row>
    <row r="26" spans="2:36" ht="15" thickBot="1" x14ac:dyDescent="0.4">
      <c r="B26">
        <v>0.80381000000000002</v>
      </c>
      <c r="C26">
        <v>0.88280000000000003</v>
      </c>
      <c r="D26" s="68">
        <v>8.2330000000000007E-3</v>
      </c>
      <c r="E26" s="68">
        <v>7.4960000000000001E-3</v>
      </c>
      <c r="F26" s="49"/>
      <c r="G26" s="49"/>
      <c r="H26" s="50"/>
      <c r="I26" s="50"/>
      <c r="J26" s="50"/>
      <c r="K26" s="50"/>
      <c r="L26" s="50"/>
      <c r="M26" s="50"/>
      <c r="N26" s="51"/>
      <c r="U26" s="60">
        <v>6</v>
      </c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6"/>
    </row>
    <row r="27" spans="2:36" x14ac:dyDescent="0.35">
      <c r="B27">
        <v>0.84846999999999995</v>
      </c>
      <c r="C27">
        <v>0.75360000000000005</v>
      </c>
      <c r="D27" s="68">
        <v>3.7750000000000001E-3</v>
      </c>
      <c r="E27" s="68">
        <v>4.2500000000000003E-3</v>
      </c>
      <c r="F27" s="49"/>
      <c r="G27" s="49"/>
      <c r="H27" s="50"/>
      <c r="I27" s="50"/>
      <c r="J27" s="50"/>
      <c r="K27" s="50"/>
      <c r="L27" s="50"/>
      <c r="M27" s="50"/>
      <c r="N27" s="51"/>
    </row>
    <row r="28" spans="2:36" x14ac:dyDescent="0.35">
      <c r="D28" s="68"/>
      <c r="E28" s="68"/>
      <c r="F28" s="49"/>
      <c r="G28" s="49"/>
      <c r="H28" s="50"/>
      <c r="I28" s="50"/>
      <c r="J28" s="50"/>
      <c r="K28" s="50"/>
      <c r="L28" s="50"/>
      <c r="M28" s="50"/>
      <c r="N28" s="51"/>
    </row>
    <row r="29" spans="2:36" ht="15" thickBot="1" x14ac:dyDescent="0.4">
      <c r="D29" s="68"/>
      <c r="E29" s="68"/>
      <c r="F29" s="54"/>
      <c r="G29" s="54"/>
      <c r="H29" s="55"/>
      <c r="I29" s="55"/>
      <c r="J29" s="55"/>
      <c r="K29" s="55"/>
      <c r="L29" s="55"/>
      <c r="M29" s="55"/>
      <c r="N29" s="56"/>
    </row>
    <row r="30" spans="2:36" x14ac:dyDescent="0.35">
      <c r="D30" s="68"/>
      <c r="E30" s="68"/>
      <c r="F30" s="49"/>
      <c r="G30" s="49"/>
      <c r="H30" s="50"/>
      <c r="I30" s="50"/>
      <c r="J30" s="50"/>
      <c r="K30" s="50"/>
      <c r="L30" s="50"/>
      <c r="M30" s="50"/>
      <c r="N30" s="50"/>
    </row>
    <row r="31" spans="2:36" x14ac:dyDescent="0.35">
      <c r="D31" s="68"/>
      <c r="E31" s="68"/>
      <c r="F31" s="49"/>
      <c r="G31" s="49"/>
      <c r="H31" s="50"/>
      <c r="I31" s="50"/>
      <c r="J31" s="50"/>
      <c r="K31" s="50"/>
      <c r="L31" s="50"/>
      <c r="M31" s="50"/>
      <c r="N31" s="50"/>
    </row>
    <row r="32" spans="2:36" x14ac:dyDescent="0.35">
      <c r="D32" s="68"/>
      <c r="E32" s="68"/>
      <c r="F32" s="49"/>
      <c r="G32" s="49"/>
      <c r="H32" s="50"/>
      <c r="I32" s="50"/>
      <c r="J32" s="50"/>
      <c r="K32" s="50"/>
      <c r="L32" s="50"/>
      <c r="M32" s="50"/>
      <c r="N32" s="50"/>
    </row>
    <row r="33" spans="2:17" x14ac:dyDescent="0.35">
      <c r="D33" s="68"/>
      <c r="E33" s="68"/>
      <c r="F33" s="49"/>
      <c r="G33" s="49"/>
      <c r="H33" s="50"/>
      <c r="I33" s="50"/>
      <c r="J33" s="50"/>
      <c r="K33" s="50"/>
      <c r="L33" s="50"/>
      <c r="M33" s="50"/>
      <c r="N33" s="50"/>
    </row>
    <row r="34" spans="2:17" x14ac:dyDescent="0.35">
      <c r="D34" s="68"/>
      <c r="E34" s="68"/>
      <c r="F34" s="49"/>
      <c r="G34" s="49"/>
      <c r="H34" s="50"/>
      <c r="I34" s="50"/>
      <c r="J34" s="50"/>
      <c r="K34" s="50"/>
      <c r="L34" s="50"/>
      <c r="M34" s="50"/>
      <c r="N34" s="50"/>
    </row>
    <row r="35" spans="2:17" x14ac:dyDescent="0.35">
      <c r="B35" s="49"/>
      <c r="C35" s="49"/>
      <c r="D35" s="49"/>
      <c r="E35" s="49"/>
      <c r="F35" s="49"/>
      <c r="G35" s="49"/>
      <c r="H35" s="50"/>
      <c r="I35" s="50"/>
      <c r="J35" s="50"/>
      <c r="K35" s="50"/>
      <c r="L35" s="50"/>
      <c r="M35" s="50"/>
      <c r="N35" s="50"/>
    </row>
    <row r="36" spans="2:17" x14ac:dyDescent="0.35">
      <c r="B36" s="49"/>
      <c r="C36" s="49"/>
      <c r="D36" s="49"/>
      <c r="E36" s="49"/>
      <c r="F36" s="49"/>
      <c r="G36" s="49"/>
      <c r="H36" s="50"/>
      <c r="I36" s="50"/>
      <c r="J36" s="50"/>
      <c r="K36" s="50"/>
      <c r="L36" s="50"/>
      <c r="M36" s="50"/>
      <c r="N36" s="50"/>
    </row>
    <row r="37" spans="2:17" x14ac:dyDescent="0.35">
      <c r="B37" s="49"/>
      <c r="C37" s="49"/>
      <c r="D37" s="49"/>
      <c r="E37" s="49"/>
      <c r="F37" s="49"/>
      <c r="G37" s="49"/>
      <c r="H37" s="50"/>
      <c r="I37" s="50"/>
      <c r="J37" s="50"/>
      <c r="K37" s="50"/>
      <c r="L37" s="50"/>
      <c r="M37" s="50"/>
      <c r="N37" s="50"/>
    </row>
    <row r="38" spans="2:17" x14ac:dyDescent="0.35">
      <c r="B38" s="49"/>
      <c r="C38" s="49"/>
      <c r="D38" s="49"/>
      <c r="E38" s="49"/>
      <c r="F38" s="49"/>
      <c r="G38" s="49"/>
      <c r="H38" s="50"/>
      <c r="I38" s="50"/>
      <c r="J38" s="50"/>
      <c r="K38" s="50"/>
      <c r="L38" s="50"/>
      <c r="M38" s="50"/>
      <c r="N38" s="50"/>
    </row>
    <row r="39" spans="2:17" ht="15" thickBot="1" x14ac:dyDescent="0.4">
      <c r="F39" s="1"/>
      <c r="G39" s="1"/>
    </row>
    <row r="40" spans="2:17" x14ac:dyDescent="0.35">
      <c r="B40" s="45"/>
      <c r="C40" s="46">
        <v>1</v>
      </c>
      <c r="D40" s="46">
        <v>2</v>
      </c>
      <c r="E40" s="46">
        <v>3</v>
      </c>
      <c r="F40" s="46">
        <v>4</v>
      </c>
      <c r="G40" s="46">
        <v>5</v>
      </c>
      <c r="H40" s="46">
        <v>6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8" t="s">
        <v>62</v>
      </c>
      <c r="C41" s="50" t="s">
        <v>64</v>
      </c>
      <c r="D41" s="50" t="s">
        <v>65</v>
      </c>
      <c r="E41" s="50" t="s">
        <v>64</v>
      </c>
      <c r="F41" s="50" t="s">
        <v>66</v>
      </c>
      <c r="G41" s="50" t="s">
        <v>64</v>
      </c>
      <c r="H41" s="50" t="s">
        <v>64</v>
      </c>
      <c r="I41" s="50"/>
      <c r="J41" s="50"/>
      <c r="K41" s="50"/>
      <c r="L41" s="50"/>
      <c r="M41" s="50"/>
      <c r="N41" s="50"/>
      <c r="O41" s="50"/>
      <c r="P41" s="50"/>
      <c r="Q41" s="51"/>
    </row>
    <row r="42" spans="2:17" x14ac:dyDescent="0.35">
      <c r="B42" s="48">
        <v>3.7100000000000001E-2</v>
      </c>
      <c r="C42" s="50">
        <v>19940</v>
      </c>
      <c r="D42" s="50">
        <v>27915</v>
      </c>
      <c r="E42" s="50">
        <v>37619</v>
      </c>
      <c r="F42" s="50">
        <v>48020</v>
      </c>
      <c r="G42" s="50">
        <v>59317</v>
      </c>
      <c r="H42" s="50">
        <v>70660</v>
      </c>
      <c r="I42" s="50"/>
      <c r="J42" s="50"/>
      <c r="K42" s="50"/>
      <c r="L42" s="50"/>
      <c r="M42" s="50"/>
      <c r="N42" s="50"/>
      <c r="O42" s="50"/>
      <c r="P42" s="50"/>
      <c r="Q42" s="51"/>
    </row>
    <row r="43" spans="2:17" x14ac:dyDescent="0.35">
      <c r="B43" s="48">
        <v>4.3799999999999999E-2</v>
      </c>
      <c r="C43" s="50">
        <v>25545</v>
      </c>
      <c r="D43" s="50">
        <v>33878</v>
      </c>
      <c r="E43" s="50">
        <v>44415</v>
      </c>
      <c r="F43" s="50">
        <v>55931</v>
      </c>
      <c r="G43" s="50">
        <v>68814</v>
      </c>
      <c r="H43" s="50">
        <v>81767</v>
      </c>
      <c r="I43" s="50"/>
      <c r="J43" s="50"/>
      <c r="K43" s="50"/>
      <c r="L43" s="50"/>
      <c r="M43" s="50"/>
      <c r="N43" s="50"/>
      <c r="O43" s="50"/>
      <c r="P43" s="50"/>
      <c r="Q43" s="51"/>
    </row>
    <row r="44" spans="2:17" x14ac:dyDescent="0.35">
      <c r="B44" s="48">
        <v>5.04E-2</v>
      </c>
      <c r="C44" s="50">
        <v>31606</v>
      </c>
      <c r="D44" s="50">
        <v>40106</v>
      </c>
      <c r="E44" s="50">
        <v>51222</v>
      </c>
      <c r="F44" s="50">
        <v>63607</v>
      </c>
      <c r="G44" s="50">
        <v>77927</v>
      </c>
      <c r="H44" s="50">
        <v>92344</v>
      </c>
      <c r="I44" s="50"/>
      <c r="J44" s="50"/>
      <c r="K44" s="50"/>
      <c r="L44" s="50"/>
      <c r="M44" s="50"/>
      <c r="N44" s="50"/>
      <c r="O44" s="50"/>
      <c r="P44" s="50"/>
      <c r="Q44" s="51"/>
    </row>
    <row r="45" spans="2:17" x14ac:dyDescent="0.35">
      <c r="B45" s="48">
        <v>5.7099999999999998E-2</v>
      </c>
      <c r="C45" s="50">
        <v>38001</v>
      </c>
      <c r="D45" s="50">
        <v>46524</v>
      </c>
      <c r="E45" s="50">
        <v>57997</v>
      </c>
      <c r="F45" s="50">
        <v>71021</v>
      </c>
      <c r="G45" s="50">
        <v>86627</v>
      </c>
      <c r="H45" s="50">
        <v>102359</v>
      </c>
      <c r="I45" s="50"/>
      <c r="J45" s="50"/>
      <c r="K45" s="50"/>
      <c r="L45" s="50"/>
      <c r="M45" s="50"/>
      <c r="N45" s="50"/>
      <c r="O45" s="50"/>
      <c r="P45" s="50"/>
      <c r="Q45" s="51"/>
    </row>
    <row r="46" spans="2:17" x14ac:dyDescent="0.35">
      <c r="B46" s="48">
        <v>6.3700000000000007E-2</v>
      </c>
      <c r="C46" s="50">
        <v>44541</v>
      </c>
      <c r="D46" s="50">
        <v>52967</v>
      </c>
      <c r="E46" s="50">
        <v>64594</v>
      </c>
      <c r="F46" s="50">
        <v>78023</v>
      </c>
      <c r="G46" s="50">
        <v>94743</v>
      </c>
      <c r="H46" s="50">
        <v>111620</v>
      </c>
      <c r="I46" s="50"/>
      <c r="J46" s="50"/>
      <c r="K46" s="50"/>
      <c r="L46" s="50"/>
      <c r="M46" s="50"/>
      <c r="N46" s="50"/>
      <c r="O46" s="50"/>
      <c r="P46" s="50"/>
      <c r="Q46" s="51"/>
    </row>
    <row r="47" spans="2:17" x14ac:dyDescent="0.35">
      <c r="B47" s="48">
        <v>7.0400000000000004E-2</v>
      </c>
      <c r="C47" s="50">
        <v>50989</v>
      </c>
      <c r="D47" s="50">
        <v>59211</v>
      </c>
      <c r="E47" s="50">
        <v>70798</v>
      </c>
      <c r="F47" s="50">
        <v>84400</v>
      </c>
      <c r="G47" s="50">
        <v>102031</v>
      </c>
      <c r="H47" s="50">
        <v>119847</v>
      </c>
      <c r="I47" s="50"/>
      <c r="J47" s="50"/>
      <c r="K47" s="50"/>
      <c r="L47" s="50"/>
      <c r="M47" s="50"/>
      <c r="N47" s="50"/>
      <c r="O47" s="50"/>
      <c r="P47" s="50"/>
      <c r="Q47" s="51"/>
    </row>
    <row r="48" spans="2:17" x14ac:dyDescent="0.35">
      <c r="B48" s="48">
        <v>7.6999999999999999E-2</v>
      </c>
      <c r="C48" s="50">
        <v>57132</v>
      </c>
      <c r="D48" s="50">
        <v>65063</v>
      </c>
      <c r="E48" s="50">
        <v>76441</v>
      </c>
      <c r="F48" s="50">
        <v>89997</v>
      </c>
      <c r="G48" s="50">
        <v>108322</v>
      </c>
      <c r="H48" s="50">
        <v>126858</v>
      </c>
      <c r="I48" s="50"/>
      <c r="J48" s="50"/>
      <c r="K48" s="50"/>
      <c r="L48" s="50"/>
      <c r="M48" s="50"/>
      <c r="N48" s="50"/>
      <c r="O48" s="50"/>
      <c r="P48" s="50"/>
      <c r="Q48" s="51"/>
    </row>
    <row r="49" spans="2:17" x14ac:dyDescent="0.35">
      <c r="B49" s="48">
        <v>8.3699999999999997E-2</v>
      </c>
      <c r="C49" s="50">
        <v>62876</v>
      </c>
      <c r="D49" s="50">
        <v>70457</v>
      </c>
      <c r="E49" s="50">
        <v>81500</v>
      </c>
      <c r="F49" s="50">
        <v>94836</v>
      </c>
      <c r="G49" s="50">
        <v>113663</v>
      </c>
      <c r="H49" s="50">
        <v>132724</v>
      </c>
      <c r="I49" s="50"/>
      <c r="J49" s="50"/>
      <c r="K49" s="50"/>
      <c r="L49" s="50"/>
      <c r="M49" s="50"/>
      <c r="N49" s="50"/>
      <c r="O49" s="50"/>
      <c r="P49" s="50"/>
      <c r="Q49" s="51"/>
    </row>
    <row r="50" spans="2:17" x14ac:dyDescent="0.35">
      <c r="B50" s="48">
        <v>9.0300000000000005E-2</v>
      </c>
      <c r="C50" s="50">
        <v>68166</v>
      </c>
      <c r="D50" s="50">
        <v>75362</v>
      </c>
      <c r="E50" s="50">
        <v>85983</v>
      </c>
      <c r="F50" s="50">
        <v>98966</v>
      </c>
      <c r="G50" s="50">
        <v>118130</v>
      </c>
      <c r="H50" s="50">
        <v>137547</v>
      </c>
      <c r="I50" s="50"/>
      <c r="J50" s="50"/>
      <c r="K50" s="50"/>
      <c r="L50" s="50"/>
      <c r="M50" s="50"/>
      <c r="N50" s="50"/>
      <c r="O50" s="50"/>
      <c r="P50" s="50"/>
      <c r="Q50" s="51"/>
    </row>
    <row r="51" spans="2:17" x14ac:dyDescent="0.35">
      <c r="B51" s="48">
        <v>9.7000000000000003E-2</v>
      </c>
      <c r="C51" s="50">
        <v>72939</v>
      </c>
      <c r="D51" s="50">
        <v>79732</v>
      </c>
      <c r="E51" s="50">
        <v>89869</v>
      </c>
      <c r="F51" s="50">
        <v>102399</v>
      </c>
      <c r="G51" s="50">
        <v>121753</v>
      </c>
      <c r="H51" s="50">
        <v>141374</v>
      </c>
      <c r="I51" s="50"/>
      <c r="J51" s="50"/>
      <c r="K51" s="50"/>
      <c r="L51" s="50"/>
      <c r="M51" s="50"/>
      <c r="N51" s="50"/>
      <c r="O51" s="50"/>
      <c r="P51" s="50"/>
      <c r="Q51" s="51"/>
    </row>
    <row r="52" spans="2:17" x14ac:dyDescent="0.35">
      <c r="B52" s="48">
        <v>0.1036</v>
      </c>
      <c r="C52" s="50">
        <v>77129</v>
      </c>
      <c r="D52" s="50">
        <v>83508</v>
      </c>
      <c r="E52" s="50">
        <v>93118</v>
      </c>
      <c r="F52" s="50">
        <v>105117</v>
      </c>
      <c r="G52" s="50">
        <v>124526</v>
      </c>
      <c r="H52" s="50">
        <v>144211</v>
      </c>
      <c r="I52" s="50"/>
      <c r="J52" s="50"/>
      <c r="K52" s="50"/>
      <c r="L52" s="50"/>
      <c r="M52" s="50"/>
      <c r="N52" s="50"/>
      <c r="O52" s="50"/>
      <c r="P52" s="50"/>
      <c r="Q52" s="51"/>
    </row>
    <row r="53" spans="2:17" x14ac:dyDescent="0.35">
      <c r="B53" s="48">
        <v>0.1103</v>
      </c>
      <c r="C53" s="50">
        <v>80682</v>
      </c>
      <c r="D53" s="50">
        <v>86644</v>
      </c>
      <c r="E53" s="50">
        <v>95700</v>
      </c>
      <c r="F53" s="50">
        <v>107110</v>
      </c>
      <c r="G53" s="50">
        <v>126446</v>
      </c>
      <c r="H53" s="50">
        <v>146066</v>
      </c>
      <c r="I53" s="50"/>
      <c r="J53" s="50"/>
      <c r="K53" s="50"/>
      <c r="L53" s="50"/>
      <c r="M53" s="50"/>
      <c r="N53" s="50"/>
      <c r="O53" s="50"/>
      <c r="P53" s="50"/>
      <c r="Q53" s="51"/>
    </row>
    <row r="54" spans="2:17" x14ac:dyDescent="0.35">
      <c r="B54" s="48">
        <v>0.1169</v>
      </c>
      <c r="C54" s="50">
        <v>83565</v>
      </c>
      <c r="D54" s="50">
        <v>89112</v>
      </c>
      <c r="E54" s="50">
        <v>97599</v>
      </c>
      <c r="F54" s="50">
        <v>108381</v>
      </c>
      <c r="G54" s="50">
        <v>127529</v>
      </c>
      <c r="H54" s="50">
        <v>146964</v>
      </c>
      <c r="I54" s="50"/>
      <c r="J54" s="50"/>
      <c r="K54" s="50"/>
      <c r="L54" s="50"/>
      <c r="M54" s="50"/>
      <c r="N54" s="50"/>
      <c r="O54" s="50"/>
      <c r="P54" s="50"/>
      <c r="Q54" s="51"/>
    </row>
    <row r="55" spans="2:17" x14ac:dyDescent="0.35">
      <c r="B55" s="48">
        <v>0.1235</v>
      </c>
      <c r="C55" s="50">
        <v>85760</v>
      </c>
      <c r="D55" s="50">
        <v>90900</v>
      </c>
      <c r="E55" s="50">
        <v>98814</v>
      </c>
      <c r="F55" s="50">
        <v>108942</v>
      </c>
      <c r="G55" s="50">
        <v>127799</v>
      </c>
      <c r="H55" s="50">
        <v>146940</v>
      </c>
      <c r="I55" s="50"/>
      <c r="J55" s="50"/>
      <c r="K55" s="50"/>
      <c r="L55" s="50"/>
      <c r="M55" s="50"/>
      <c r="N55" s="50"/>
      <c r="O55" s="50"/>
      <c r="P55" s="50"/>
      <c r="Q55" s="51"/>
    </row>
    <row r="56" spans="2:17" x14ac:dyDescent="0.35">
      <c r="B56" s="48">
        <v>0.13020000000000001</v>
      </c>
      <c r="C56" s="50">
        <v>87219</v>
      </c>
      <c r="D56" s="50">
        <v>91960</v>
      </c>
      <c r="E56" s="50">
        <v>99302</v>
      </c>
      <c r="F56" s="50">
        <v>108759</v>
      </c>
      <c r="G56" s="50">
        <v>127221</v>
      </c>
      <c r="H56" s="50">
        <v>145963</v>
      </c>
      <c r="I56" s="50"/>
      <c r="J56" s="50"/>
      <c r="K56" s="50"/>
      <c r="L56" s="50"/>
      <c r="M56" s="50"/>
      <c r="N56" s="50"/>
      <c r="O56" s="50"/>
      <c r="P56" s="50"/>
      <c r="Q56" s="51"/>
    </row>
    <row r="57" spans="2:17" x14ac:dyDescent="0.35">
      <c r="B57" s="48">
        <v>0.1368</v>
      </c>
      <c r="C57" s="50">
        <v>87823</v>
      </c>
      <c r="D57" s="50">
        <v>92172</v>
      </c>
      <c r="E57" s="50">
        <v>98939</v>
      </c>
      <c r="F57" s="50">
        <v>107710</v>
      </c>
      <c r="G57" s="50">
        <v>125658</v>
      </c>
      <c r="H57" s="50">
        <v>143879</v>
      </c>
      <c r="I57" s="50"/>
      <c r="J57" s="50"/>
      <c r="K57" s="50"/>
      <c r="L57" s="50"/>
      <c r="M57" s="50"/>
      <c r="N57" s="50"/>
      <c r="O57" s="50"/>
      <c r="P57" s="50"/>
      <c r="Q57" s="51"/>
    </row>
    <row r="58" spans="2:17" x14ac:dyDescent="0.35">
      <c r="B58" s="48">
        <v>0.14349999999999999</v>
      </c>
      <c r="C58" s="50">
        <v>87452</v>
      </c>
      <c r="D58" s="50">
        <v>91411</v>
      </c>
      <c r="E58" s="50">
        <v>97600</v>
      </c>
      <c r="F58" s="50">
        <v>105666</v>
      </c>
      <c r="G58" s="50">
        <v>122969</v>
      </c>
      <c r="H58" s="50">
        <v>140533</v>
      </c>
      <c r="I58" s="50"/>
      <c r="J58" s="50"/>
      <c r="K58" s="50"/>
      <c r="L58" s="50"/>
      <c r="M58" s="50"/>
      <c r="N58" s="50"/>
      <c r="O58" s="50"/>
      <c r="P58" s="50"/>
      <c r="Q58" s="51"/>
    </row>
    <row r="59" spans="2:17" x14ac:dyDescent="0.35">
      <c r="B59" s="48">
        <v>0.15010000000000001</v>
      </c>
      <c r="C59" s="50">
        <v>86073</v>
      </c>
      <c r="D59" s="50">
        <v>89648</v>
      </c>
      <c r="E59" s="50">
        <v>95261</v>
      </c>
      <c r="F59" s="50">
        <v>102611</v>
      </c>
      <c r="G59" s="50">
        <v>119139</v>
      </c>
      <c r="H59" s="50">
        <v>135914</v>
      </c>
      <c r="I59" s="50"/>
      <c r="J59" s="50"/>
      <c r="K59" s="50"/>
      <c r="L59" s="50"/>
      <c r="M59" s="50"/>
      <c r="N59" s="50"/>
      <c r="O59" s="50"/>
      <c r="P59" s="50"/>
      <c r="Q59" s="51"/>
    </row>
    <row r="60" spans="2:17" x14ac:dyDescent="0.35">
      <c r="B60" s="48">
        <v>0.15679999999999999</v>
      </c>
      <c r="C60" s="50">
        <v>83721</v>
      </c>
      <c r="D60" s="50">
        <v>86922</v>
      </c>
      <c r="E60" s="50">
        <v>91967</v>
      </c>
      <c r="F60" s="50">
        <v>98603</v>
      </c>
      <c r="G60" s="50">
        <v>114240</v>
      </c>
      <c r="H60" s="50">
        <v>130108</v>
      </c>
      <c r="I60" s="50"/>
      <c r="J60" s="50"/>
      <c r="K60" s="50"/>
      <c r="L60" s="50"/>
      <c r="M60" s="50"/>
      <c r="N60" s="50"/>
      <c r="O60" s="50"/>
      <c r="P60" s="50"/>
      <c r="Q60" s="51"/>
    </row>
    <row r="61" spans="2:17" x14ac:dyDescent="0.35">
      <c r="B61" s="48">
        <v>0.16339999999999999</v>
      </c>
      <c r="C61" s="50">
        <v>80335</v>
      </c>
      <c r="D61" s="50">
        <v>83172</v>
      </c>
      <c r="E61" s="50">
        <v>87657</v>
      </c>
      <c r="F61" s="50">
        <v>93582</v>
      </c>
      <c r="G61" s="50">
        <v>108207</v>
      </c>
      <c r="H61" s="50">
        <v>123044</v>
      </c>
      <c r="I61" s="50"/>
      <c r="J61" s="50"/>
      <c r="K61" s="50"/>
      <c r="L61" s="50"/>
      <c r="M61" s="50"/>
      <c r="N61" s="50"/>
      <c r="O61" s="50"/>
      <c r="P61" s="50"/>
      <c r="Q61" s="51"/>
    </row>
    <row r="62" spans="2:17" x14ac:dyDescent="0.35">
      <c r="B62" s="48">
        <v>0.1701</v>
      </c>
      <c r="C62" s="50">
        <v>75478</v>
      </c>
      <c r="D62" s="50">
        <v>77946</v>
      </c>
      <c r="E62" s="50">
        <v>81861</v>
      </c>
      <c r="F62" s="50">
        <v>87052</v>
      </c>
      <c r="G62" s="50">
        <v>100470</v>
      </c>
      <c r="H62" s="50">
        <v>114079</v>
      </c>
      <c r="I62" s="50"/>
      <c r="J62" s="50"/>
      <c r="K62" s="50"/>
      <c r="L62" s="50"/>
      <c r="M62" s="50"/>
      <c r="N62" s="50"/>
      <c r="O62" s="50"/>
      <c r="P62" s="50"/>
      <c r="Q62" s="51"/>
    </row>
    <row r="63" spans="2:17" x14ac:dyDescent="0.35">
      <c r="B63" s="48">
        <v>0.1767</v>
      </c>
      <c r="C63" s="50">
        <v>68589</v>
      </c>
      <c r="D63" s="50">
        <v>70671</v>
      </c>
      <c r="E63" s="50">
        <v>73984</v>
      </c>
      <c r="F63" s="50">
        <v>78392</v>
      </c>
      <c r="G63" s="50">
        <v>90319</v>
      </c>
      <c r="H63" s="50">
        <v>102413</v>
      </c>
      <c r="I63" s="50"/>
      <c r="J63" s="50"/>
      <c r="K63" s="50"/>
      <c r="L63" s="50"/>
      <c r="M63" s="50"/>
      <c r="N63" s="50"/>
      <c r="O63" s="50"/>
      <c r="P63" s="50"/>
      <c r="Q63" s="51"/>
    </row>
    <row r="64" spans="2:17" x14ac:dyDescent="0.35">
      <c r="B64" s="48">
        <v>0.18340000000000001</v>
      </c>
      <c r="C64" s="50">
        <v>59318</v>
      </c>
      <c r="D64" s="50">
        <v>60993</v>
      </c>
      <c r="E64" s="50">
        <v>63667</v>
      </c>
      <c r="F64" s="50">
        <v>67236</v>
      </c>
      <c r="G64" s="50">
        <v>77342</v>
      </c>
      <c r="H64" s="50">
        <v>87585</v>
      </c>
      <c r="I64" s="50"/>
      <c r="J64" s="50"/>
      <c r="K64" s="50"/>
      <c r="L64" s="50"/>
      <c r="M64" s="50"/>
      <c r="N64" s="50"/>
      <c r="O64" s="50"/>
      <c r="P64" s="50"/>
      <c r="Q64" s="51"/>
    </row>
    <row r="65" spans="2:17" x14ac:dyDescent="0.35">
      <c r="B65" s="48">
        <v>0.19</v>
      </c>
      <c r="C65" s="50">
        <v>47617</v>
      </c>
      <c r="D65" s="50">
        <v>48872</v>
      </c>
      <c r="E65" s="50">
        <v>50879</v>
      </c>
      <c r="F65" s="50">
        <v>53568</v>
      </c>
      <c r="G65" s="50">
        <v>61526</v>
      </c>
      <c r="H65" s="50">
        <v>69592</v>
      </c>
      <c r="I65" s="50"/>
      <c r="J65" s="50"/>
      <c r="K65" s="50"/>
      <c r="L65" s="50"/>
      <c r="M65" s="50"/>
      <c r="N65" s="50"/>
      <c r="O65" s="50"/>
      <c r="P65" s="50"/>
      <c r="Q65" s="51"/>
    </row>
    <row r="66" spans="2:17" ht="15" thickBot="1" x14ac:dyDescent="0.4">
      <c r="B66" s="60">
        <v>0.19670000000000001</v>
      </c>
      <c r="C66" s="55">
        <v>33458</v>
      </c>
      <c r="D66" s="55">
        <v>34285</v>
      </c>
      <c r="E66" s="55">
        <v>35609</v>
      </c>
      <c r="F66" s="55">
        <v>37388</v>
      </c>
      <c r="G66" s="55">
        <v>42884</v>
      </c>
      <c r="H66" s="55">
        <v>48451</v>
      </c>
      <c r="I66" s="55"/>
      <c r="J66" s="55"/>
      <c r="K66" s="55"/>
      <c r="L66" s="55"/>
      <c r="M66" s="55"/>
      <c r="N66" s="55"/>
      <c r="O66" s="55"/>
      <c r="P66" s="55"/>
      <c r="Q66" s="5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B1:AJ66"/>
  <sheetViews>
    <sheetView zoomScaleNormal="100" workbookViewId="0">
      <selection activeCell="I6" sqref="I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5"/>
      <c r="C1" s="46"/>
      <c r="D1" s="46"/>
      <c r="E1" s="46"/>
      <c r="F1" s="46"/>
      <c r="G1" s="46"/>
      <c r="H1" s="46" t="s">
        <v>38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14</v>
      </c>
      <c r="N1" s="47" t="s">
        <v>16</v>
      </c>
      <c r="P1" s="45" t="s">
        <v>104</v>
      </c>
      <c r="Q1" s="46"/>
      <c r="R1" s="46"/>
      <c r="S1" s="47"/>
      <c r="U1" s="45" t="s">
        <v>67</v>
      </c>
      <c r="V1" s="46"/>
      <c r="W1" s="46" t="s">
        <v>68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</row>
    <row r="2" spans="2:36" x14ac:dyDescent="0.35">
      <c r="B2" s="48" t="s">
        <v>21</v>
      </c>
      <c r="C2" s="49">
        <v>0.34</v>
      </c>
      <c r="D2" s="50"/>
      <c r="E2" s="50"/>
      <c r="F2" s="50"/>
      <c r="G2" s="50"/>
      <c r="H2" s="50" t="s">
        <v>60</v>
      </c>
      <c r="I2" s="50">
        <f t="array" ref="I2:N2">LINEST($C$8:$C$28,$B$8:$B$28^{1,2,3,4,5})</f>
        <v>-37.880179111023239</v>
      </c>
      <c r="J2" s="50">
        <v>76.96207373710979</v>
      </c>
      <c r="K2" s="50">
        <v>-57.895901990991788</v>
      </c>
      <c r="L2" s="50">
        <v>18.113417345088997</v>
      </c>
      <c r="M2" s="50">
        <v>-0.29602589869324625</v>
      </c>
      <c r="N2" s="51">
        <v>2.0099585308134937E-2</v>
      </c>
      <c r="P2" s="52" t="s">
        <v>110</v>
      </c>
      <c r="Q2" s="49" t="s">
        <v>111</v>
      </c>
      <c r="R2" s="49" t="s">
        <v>83</v>
      </c>
      <c r="S2" s="51"/>
      <c r="U2" s="48" t="s">
        <v>74</v>
      </c>
      <c r="V2" s="50">
        <v>20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1"/>
    </row>
    <row r="3" spans="2:36" x14ac:dyDescent="0.35">
      <c r="B3" s="48" t="s">
        <v>34</v>
      </c>
      <c r="C3" s="49">
        <f>B25</f>
        <v>0.74189000000000005</v>
      </c>
      <c r="D3" s="50"/>
      <c r="E3" s="50"/>
      <c r="F3" s="50"/>
      <c r="G3" s="50"/>
      <c r="H3" s="50"/>
      <c r="I3" s="50" t="s">
        <v>7</v>
      </c>
      <c r="J3" s="50" t="s">
        <v>8</v>
      </c>
      <c r="K3" s="50" t="s">
        <v>9</v>
      </c>
      <c r="L3" s="50" t="s">
        <v>10</v>
      </c>
      <c r="M3" s="50" t="s">
        <v>14</v>
      </c>
      <c r="N3" s="51" t="s">
        <v>16</v>
      </c>
      <c r="P3" s="69"/>
      <c r="Q3" s="65"/>
      <c r="R3" s="65"/>
      <c r="S3" s="51"/>
      <c r="U3" s="48" t="s">
        <v>69</v>
      </c>
      <c r="V3" s="61">
        <f>133.332*EXP(20.386-5132/($V$2+273.15))</f>
        <v>2374.2721715276289</v>
      </c>
      <c r="W3" s="61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1"/>
    </row>
    <row r="4" spans="2:36" x14ac:dyDescent="0.35">
      <c r="B4" s="48" t="s">
        <v>39</v>
      </c>
      <c r="C4" s="49">
        <f>B28</f>
        <v>0.87280999999999997</v>
      </c>
      <c r="D4" s="50"/>
      <c r="E4" s="50"/>
      <c r="F4" s="50"/>
      <c r="G4" s="50"/>
      <c r="H4" s="50" t="s">
        <v>51</v>
      </c>
      <c r="I4" s="50">
        <f t="array" ref="I4:N4">LINEST($E$8:$E$28,$B$8:$B$28^{1,2,3,4,5})</f>
        <v>1.4225096988766266</v>
      </c>
      <c r="J4" s="50">
        <v>-3.0497284616925064</v>
      </c>
      <c r="K4" s="50">
        <v>2.0403012698276646</v>
      </c>
      <c r="L4" s="50">
        <v>-0.44729715050885388</v>
      </c>
      <c r="M4" s="50">
        <v>1.9570423826566308E-2</v>
      </c>
      <c r="N4" s="51">
        <v>1.9814098894746612E-2</v>
      </c>
      <c r="P4" s="69"/>
      <c r="Q4" s="65"/>
      <c r="R4" s="65"/>
      <c r="S4" s="51"/>
      <c r="U4" s="48" t="s">
        <v>73</v>
      </c>
      <c r="V4" s="50">
        <f>101325+$V$5*$V$7*$V$6</f>
        <v>103335.36324999999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</row>
    <row r="5" spans="2:36" x14ac:dyDescent="0.35">
      <c r="B5" s="48" t="s">
        <v>24</v>
      </c>
      <c r="C5" s="50">
        <f>LARGE(C8:C33,1)</f>
        <v>0.90920000000000001</v>
      </c>
      <c r="D5" s="50"/>
      <c r="E5" s="50"/>
      <c r="F5" s="50"/>
      <c r="G5" s="50"/>
      <c r="H5" s="50"/>
      <c r="I5" s="50" t="s">
        <v>7</v>
      </c>
      <c r="J5" s="50" t="s">
        <v>8</v>
      </c>
      <c r="K5" s="50" t="s">
        <v>9</v>
      </c>
      <c r="L5" s="50" t="s">
        <v>10</v>
      </c>
      <c r="M5" s="50" t="s">
        <v>14</v>
      </c>
      <c r="N5" s="51" t="s">
        <v>16</v>
      </c>
      <c r="P5" s="69"/>
      <c r="Q5" s="65"/>
      <c r="R5" s="65"/>
      <c r="S5" s="51"/>
      <c r="U5" s="48" t="s">
        <v>72</v>
      </c>
      <c r="V5" s="50">
        <v>1025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9"/>
    </row>
    <row r="6" spans="2:36" x14ac:dyDescent="0.35">
      <c r="B6" s="48"/>
      <c r="C6" s="50"/>
      <c r="D6" s="50"/>
      <c r="E6" s="50"/>
      <c r="F6" s="50"/>
      <c r="G6" s="50"/>
      <c r="H6" s="50" t="s">
        <v>52</v>
      </c>
      <c r="I6" s="50">
        <f t="array" ref="I6:N6">LINEST($D$8:$D$28,$B$8:$B$28^{1,2,3,4,5})</f>
        <v>1.9709135649257001</v>
      </c>
      <c r="J6" s="50">
        <v>-3.8729584647829345</v>
      </c>
      <c r="K6" s="50">
        <v>2.2835310269468008</v>
      </c>
      <c r="L6" s="50">
        <v>-0.42948303276602917</v>
      </c>
      <c r="M6" s="50">
        <v>4.1324560844818781E-2</v>
      </c>
      <c r="N6" s="51">
        <v>2.4562269206407028E-2</v>
      </c>
      <c r="P6" s="69"/>
      <c r="Q6" s="65"/>
      <c r="R6" s="65"/>
      <c r="S6" s="51"/>
      <c r="U6" s="48" t="s">
        <v>70</v>
      </c>
      <c r="V6" s="50">
        <v>0.2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9"/>
    </row>
    <row r="7" spans="2:36" x14ac:dyDescent="0.35">
      <c r="B7" s="48" t="s">
        <v>0</v>
      </c>
      <c r="C7" s="50" t="s">
        <v>15</v>
      </c>
      <c r="D7" s="50" t="s">
        <v>50</v>
      </c>
      <c r="E7" s="50" t="s">
        <v>49</v>
      </c>
      <c r="F7" s="50"/>
      <c r="G7" s="50"/>
      <c r="H7" s="50"/>
      <c r="I7" s="50"/>
      <c r="J7" s="50"/>
      <c r="K7" s="50"/>
      <c r="L7" s="50"/>
      <c r="M7" s="50"/>
      <c r="N7" s="51"/>
      <c r="P7" s="69"/>
      <c r="Q7" s="65"/>
      <c r="R7" s="65"/>
      <c r="S7" s="51"/>
      <c r="U7" s="48" t="s">
        <v>71</v>
      </c>
      <c r="V7" s="50">
        <v>9.8066499999999994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x14ac:dyDescent="0.35">
      <c r="B8">
        <v>0</v>
      </c>
      <c r="C8">
        <v>0</v>
      </c>
      <c r="D8" s="68">
        <v>2.4969999999999999E-2</v>
      </c>
      <c r="E8" s="68">
        <v>2.019E-2</v>
      </c>
      <c r="F8" s="50"/>
      <c r="G8" s="50"/>
      <c r="H8" s="50"/>
      <c r="I8" s="50"/>
      <c r="J8" s="50"/>
      <c r="K8" s="50"/>
      <c r="L8" s="50"/>
      <c r="M8" s="50"/>
      <c r="N8" s="51"/>
      <c r="P8" s="69"/>
      <c r="Q8" s="65"/>
      <c r="R8" s="65"/>
      <c r="S8" s="51"/>
      <c r="U8" s="48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1"/>
    </row>
    <row r="9" spans="2:36" x14ac:dyDescent="0.35">
      <c r="B9">
        <v>4.3639999999999998E-2</v>
      </c>
      <c r="C9">
        <v>5.6300000000000003E-2</v>
      </c>
      <c r="D9" s="68">
        <v>2.5180000000000001E-2</v>
      </c>
      <c r="E9" s="68">
        <v>1.951E-2</v>
      </c>
      <c r="F9" s="50"/>
      <c r="G9" s="50"/>
      <c r="H9" s="50"/>
      <c r="I9" s="50"/>
      <c r="J9" s="50"/>
      <c r="K9" s="50"/>
      <c r="L9" s="50"/>
      <c r="M9" s="50"/>
      <c r="N9" s="51"/>
      <c r="P9" s="69"/>
      <c r="Q9" s="65"/>
      <c r="R9" s="65"/>
      <c r="S9" s="51"/>
      <c r="U9" s="48"/>
      <c r="V9" s="50"/>
      <c r="W9" s="50"/>
      <c r="X9" s="50"/>
      <c r="Y9" s="50" t="s">
        <v>109</v>
      </c>
      <c r="Z9" s="50">
        <v>0.17</v>
      </c>
      <c r="AA9" s="50"/>
      <c r="AB9" s="50"/>
      <c r="AC9" s="50"/>
      <c r="AD9" s="50"/>
      <c r="AE9" s="50"/>
      <c r="AF9" s="50"/>
      <c r="AG9" s="50"/>
      <c r="AH9" s="50"/>
      <c r="AI9" s="50"/>
      <c r="AJ9" s="51"/>
    </row>
    <row r="10" spans="2:36" x14ac:dyDescent="0.35">
      <c r="B10">
        <v>8.7279999999999996E-2</v>
      </c>
      <c r="C10">
        <v>0.11890000000000001</v>
      </c>
      <c r="D10" s="68">
        <v>2.5739999999999999E-2</v>
      </c>
      <c r="E10" s="68">
        <v>1.8890000000000001E-2</v>
      </c>
      <c r="F10" s="49"/>
      <c r="G10" s="49"/>
      <c r="H10" s="50"/>
      <c r="I10" s="50"/>
      <c r="J10" s="49"/>
      <c r="K10" s="50"/>
      <c r="L10" s="50"/>
      <c r="M10" s="50"/>
      <c r="N10" s="51"/>
      <c r="P10" s="69"/>
      <c r="Q10" s="65"/>
      <c r="R10" s="65"/>
      <c r="S10" s="59"/>
      <c r="T10" t="s">
        <v>6</v>
      </c>
      <c r="U10" s="48" t="s">
        <v>77</v>
      </c>
      <c r="V10" s="50" t="s">
        <v>78</v>
      </c>
      <c r="W10" s="50" t="s">
        <v>79</v>
      </c>
      <c r="X10" s="50" t="s">
        <v>80</v>
      </c>
      <c r="Y10" s="50" t="s">
        <v>76</v>
      </c>
      <c r="Z10" s="50" t="s">
        <v>86</v>
      </c>
      <c r="AA10" s="50" t="s">
        <v>87</v>
      </c>
      <c r="AB10" s="50" t="s">
        <v>76</v>
      </c>
      <c r="AC10" s="50"/>
      <c r="AD10" s="50"/>
      <c r="AE10" s="50"/>
      <c r="AF10" s="50"/>
      <c r="AG10" s="50"/>
      <c r="AH10" s="50"/>
      <c r="AI10" s="50"/>
      <c r="AJ10" s="51"/>
    </row>
    <row r="11" spans="2:36" x14ac:dyDescent="0.35">
      <c r="B11">
        <v>0.13092000000000001</v>
      </c>
      <c r="C11">
        <v>0.18970000000000001</v>
      </c>
      <c r="D11" s="68">
        <v>2.6700000000000002E-2</v>
      </c>
      <c r="E11" s="68">
        <v>1.8429999999999998E-2</v>
      </c>
      <c r="F11" s="49"/>
      <c r="G11" s="49"/>
      <c r="H11" s="50"/>
      <c r="I11" s="50"/>
      <c r="J11" s="49"/>
      <c r="K11" s="50"/>
      <c r="L11" s="50"/>
      <c r="M11" s="50"/>
      <c r="N11" s="51"/>
      <c r="P11" s="69"/>
      <c r="Q11" s="65"/>
      <c r="R11" s="65"/>
      <c r="S11" s="51"/>
      <c r="T11">
        <f>120*53/14</f>
        <v>454.28571428571428</v>
      </c>
      <c r="U11" s="48">
        <v>1</v>
      </c>
      <c r="V11" s="62">
        <f>T11*PI()/30</f>
        <v>47.572688754359724</v>
      </c>
      <c r="W11" s="63">
        <f>V11*$Z$9</f>
        <v>8.0873570882411538</v>
      </c>
      <c r="X11" s="63">
        <f t="shared" ref="X11:X16" si="0">SQRT(W11^2+U11^2)</f>
        <v>8.148947457968081</v>
      </c>
      <c r="Y11" s="63">
        <f t="shared" ref="Y11:Y16" si="1">($V$3-$V$4-$V$5*$V$6*$V$7)/(0.5*$V$5*X11^2)</f>
        <v>-3.0256587308604188</v>
      </c>
      <c r="Z11" s="63">
        <f>0.69375*$Z$9*V11</f>
        <v>5.6106039799673004</v>
      </c>
      <c r="AA11" s="63">
        <f t="shared" ref="AA11:AA16" si="2">SQRT(Z11^2+U11^2)</f>
        <v>5.6990242164799501</v>
      </c>
      <c r="AB11" s="63">
        <f t="shared" ref="AB11:AB16" si="3">($V$3-$V$4-$V$5*$V$6*$V$7)/(0.5*$V$5*AA11^2)</f>
        <v>-6.1861717312746558</v>
      </c>
      <c r="AC11" s="50"/>
      <c r="AD11" s="50"/>
      <c r="AE11" s="50"/>
      <c r="AF11" s="50"/>
      <c r="AG11" s="50"/>
      <c r="AH11" s="50"/>
      <c r="AI11" s="50"/>
      <c r="AJ11" s="51"/>
    </row>
    <row r="12" spans="2:36" x14ac:dyDescent="0.35">
      <c r="B12">
        <v>0.17455999999999999</v>
      </c>
      <c r="C12">
        <v>0.26869999999999999</v>
      </c>
      <c r="D12" s="68">
        <v>2.8039999999999999E-2</v>
      </c>
      <c r="E12" s="68">
        <v>1.822E-2</v>
      </c>
      <c r="F12" s="49"/>
      <c r="G12" s="49"/>
      <c r="H12" s="50"/>
      <c r="I12" s="50"/>
      <c r="J12" s="49"/>
      <c r="K12" s="50"/>
      <c r="L12" s="50"/>
      <c r="M12" s="50"/>
      <c r="N12" s="51"/>
      <c r="P12" s="69"/>
      <c r="Q12" s="65"/>
      <c r="R12" s="65"/>
      <c r="S12" s="51"/>
      <c r="T12">
        <f t="shared" ref="T12:T16" si="4">120*53/14</f>
        <v>454.28571428571428</v>
      </c>
      <c r="U12" s="48">
        <v>2</v>
      </c>
      <c r="V12" s="62">
        <f t="shared" ref="V12:V16" si="5">T12*PI()/30</f>
        <v>47.572688754359724</v>
      </c>
      <c r="W12" s="63">
        <f t="shared" ref="W12:W16" si="6">V12*$Z$9</f>
        <v>8.0873570882411538</v>
      </c>
      <c r="X12" s="63">
        <f t="shared" si="0"/>
        <v>8.3309870167180335</v>
      </c>
      <c r="Y12" s="63">
        <f t="shared" si="1"/>
        <v>-2.8948766385679159</v>
      </c>
      <c r="Z12" s="63">
        <f t="shared" ref="Z12:Z16" si="7">0.69375*$Z$9*V12</f>
        <v>5.6106039799673004</v>
      </c>
      <c r="AA12" s="63">
        <f t="shared" si="2"/>
        <v>5.956414779044934</v>
      </c>
      <c r="AB12" s="63">
        <f t="shared" si="3"/>
        <v>-5.6630854119599485</v>
      </c>
      <c r="AC12" s="50"/>
      <c r="AD12" s="50"/>
      <c r="AE12" s="50"/>
      <c r="AF12" s="50"/>
      <c r="AG12" s="50"/>
      <c r="AH12" s="50"/>
      <c r="AI12" s="50"/>
      <c r="AJ12" s="51"/>
    </row>
    <row r="13" spans="2:36" x14ac:dyDescent="0.35">
      <c r="B13">
        <v>0.21820000000000001</v>
      </c>
      <c r="C13">
        <v>0.35410000000000003</v>
      </c>
      <c r="D13" s="68">
        <v>2.9700000000000001E-2</v>
      </c>
      <c r="E13" s="68">
        <v>1.83E-2</v>
      </c>
      <c r="F13" s="49"/>
      <c r="G13" s="49"/>
      <c r="H13" s="50"/>
      <c r="I13" s="50"/>
      <c r="J13" s="49"/>
      <c r="K13" s="50"/>
      <c r="L13" s="50"/>
      <c r="M13" s="50"/>
      <c r="N13" s="51"/>
      <c r="P13" s="69"/>
      <c r="Q13" s="65"/>
      <c r="R13" s="65"/>
      <c r="S13" s="51"/>
      <c r="T13">
        <f t="shared" si="4"/>
        <v>454.28571428571428</v>
      </c>
      <c r="U13" s="48">
        <v>3</v>
      </c>
      <c r="V13" s="62">
        <f t="shared" si="5"/>
        <v>47.572688754359724</v>
      </c>
      <c r="W13" s="63">
        <f t="shared" si="6"/>
        <v>8.0873570882411538</v>
      </c>
      <c r="X13" s="63">
        <f t="shared" si="0"/>
        <v>8.6258532721536856</v>
      </c>
      <c r="Y13" s="63">
        <f t="shared" si="1"/>
        <v>-2.7003424521259896</v>
      </c>
      <c r="Z13" s="63">
        <f t="shared" si="7"/>
        <v>5.6106039799673004</v>
      </c>
      <c r="AA13" s="63">
        <f t="shared" si="2"/>
        <v>6.3623012361900084</v>
      </c>
      <c r="AB13" s="63">
        <f t="shared" si="3"/>
        <v>-4.9635742312077724</v>
      </c>
      <c r="AC13" s="50"/>
      <c r="AD13" s="50"/>
      <c r="AE13" s="50"/>
      <c r="AF13" s="50"/>
      <c r="AG13" s="50"/>
      <c r="AH13" s="50"/>
      <c r="AI13" s="50"/>
      <c r="AJ13" s="51"/>
    </row>
    <row r="14" spans="2:36" ht="15" thickBot="1" x14ac:dyDescent="0.4">
      <c r="B14">
        <v>0.26184000000000002</v>
      </c>
      <c r="C14">
        <v>0.44219999999999998</v>
      </c>
      <c r="D14" s="68">
        <v>3.1609999999999999E-2</v>
      </c>
      <c r="E14" s="68">
        <v>1.8720000000000001E-2</v>
      </c>
      <c r="F14" s="49"/>
      <c r="G14" s="49"/>
      <c r="H14" s="50"/>
      <c r="I14" s="50"/>
      <c r="J14" s="49"/>
      <c r="K14" s="50"/>
      <c r="L14" s="50"/>
      <c r="M14" s="50"/>
      <c r="N14" s="51"/>
      <c r="P14" s="60"/>
      <c r="Q14" s="55"/>
      <c r="R14" s="55"/>
      <c r="S14" s="56"/>
      <c r="T14">
        <f t="shared" si="4"/>
        <v>454.28571428571428</v>
      </c>
      <c r="U14" s="48">
        <v>4</v>
      </c>
      <c r="V14" s="62">
        <f t="shared" si="5"/>
        <v>47.572688754359724</v>
      </c>
      <c r="W14" s="63">
        <f t="shared" si="6"/>
        <v>8.0873570882411538</v>
      </c>
      <c r="X14" s="63">
        <f t="shared" si="0"/>
        <v>9.0224910458655732</v>
      </c>
      <c r="Y14" s="63">
        <f t="shared" si="1"/>
        <v>-2.4681415169063716</v>
      </c>
      <c r="Z14" s="63">
        <f t="shared" si="7"/>
        <v>5.6106039799673004</v>
      </c>
      <c r="AA14" s="63">
        <f t="shared" si="2"/>
        <v>6.8904917836120312</v>
      </c>
      <c r="AB14" s="63">
        <f t="shared" si="3"/>
        <v>-4.2317747068887757</v>
      </c>
      <c r="AC14" s="50"/>
      <c r="AD14" s="50"/>
      <c r="AE14" s="50"/>
      <c r="AF14" s="50"/>
      <c r="AG14" s="50"/>
      <c r="AH14" s="50"/>
      <c r="AI14" s="50"/>
      <c r="AJ14" s="51"/>
    </row>
    <row r="15" spans="2:36" x14ac:dyDescent="0.35">
      <c r="B15">
        <v>0.30547999999999997</v>
      </c>
      <c r="C15">
        <v>0.52829999999999999</v>
      </c>
      <c r="D15" s="68">
        <v>3.3680000000000002E-2</v>
      </c>
      <c r="E15" s="68">
        <v>1.9480000000000001E-2</v>
      </c>
      <c r="F15" s="49"/>
      <c r="G15" s="49"/>
      <c r="H15" s="50"/>
      <c r="I15" s="50"/>
      <c r="J15" s="49"/>
      <c r="K15" s="50"/>
      <c r="L15" s="50"/>
      <c r="M15" s="50"/>
      <c r="N15" s="51"/>
      <c r="T15">
        <f t="shared" si="4"/>
        <v>454.28571428571428</v>
      </c>
      <c r="U15" s="48">
        <v>5</v>
      </c>
      <c r="V15" s="62">
        <f t="shared" si="5"/>
        <v>47.572688754359724</v>
      </c>
      <c r="W15" s="63">
        <f t="shared" si="6"/>
        <v>8.0873570882411538</v>
      </c>
      <c r="X15" s="63">
        <f t="shared" si="0"/>
        <v>9.5081725201388956</v>
      </c>
      <c r="Y15" s="63">
        <f t="shared" si="1"/>
        <v>-2.222433990071853</v>
      </c>
      <c r="Z15" s="63">
        <f t="shared" si="7"/>
        <v>5.6106039799673004</v>
      </c>
      <c r="AA15" s="63">
        <f t="shared" si="2"/>
        <v>7.5152429781095504</v>
      </c>
      <c r="AB15" s="63">
        <f t="shared" si="3"/>
        <v>-3.5574345929999076</v>
      </c>
      <c r="AC15" s="50"/>
      <c r="AD15" s="50"/>
      <c r="AE15" s="50"/>
      <c r="AF15" s="64"/>
      <c r="AG15" s="64"/>
      <c r="AH15" s="50"/>
      <c r="AI15" s="50"/>
      <c r="AJ15" s="51"/>
    </row>
    <row r="16" spans="2:36" x14ac:dyDescent="0.35">
      <c r="B16">
        <v>0.34911999999999999</v>
      </c>
      <c r="C16">
        <v>0.60819999999999996</v>
      </c>
      <c r="D16" s="68">
        <v>3.5860000000000003E-2</v>
      </c>
      <c r="E16" s="68">
        <v>2.0590000000000001E-2</v>
      </c>
      <c r="F16" s="49"/>
      <c r="G16" s="49"/>
      <c r="H16" s="50"/>
      <c r="I16" s="50"/>
      <c r="J16" s="49"/>
      <c r="K16" s="50"/>
      <c r="L16" s="50"/>
      <c r="M16" s="50"/>
      <c r="N16" s="51"/>
      <c r="T16">
        <f t="shared" si="4"/>
        <v>454.28571428571428</v>
      </c>
      <c r="U16" s="48">
        <v>6</v>
      </c>
      <c r="V16" s="62">
        <f t="shared" si="5"/>
        <v>47.572688754359724</v>
      </c>
      <c r="W16" s="63">
        <f t="shared" si="6"/>
        <v>8.0873570882411538</v>
      </c>
      <c r="X16" s="63">
        <f t="shared" si="0"/>
        <v>10.070022079058438</v>
      </c>
      <c r="Y16" s="63">
        <f t="shared" si="1"/>
        <v>-1.9813542524141403</v>
      </c>
      <c r="Z16" s="63">
        <f t="shared" si="7"/>
        <v>5.6106039799673004</v>
      </c>
      <c r="AA16" s="63">
        <f t="shared" si="2"/>
        <v>8.2145527583688267</v>
      </c>
      <c r="AB16" s="63">
        <f t="shared" si="3"/>
        <v>-2.9775230376936999</v>
      </c>
      <c r="AC16" s="50"/>
      <c r="AD16" s="50"/>
      <c r="AE16" s="50"/>
      <c r="AF16" s="64"/>
      <c r="AG16" s="64"/>
      <c r="AH16" s="50"/>
      <c r="AI16" s="50"/>
      <c r="AJ16" s="51"/>
    </row>
    <row r="17" spans="2:36" x14ac:dyDescent="0.35">
      <c r="B17">
        <v>0.39276</v>
      </c>
      <c r="C17">
        <v>0.67859999999999998</v>
      </c>
      <c r="D17" s="68">
        <v>3.8080000000000003E-2</v>
      </c>
      <c r="E17" s="68">
        <v>2.2040000000000001E-2</v>
      </c>
      <c r="F17" s="49"/>
      <c r="G17" s="49"/>
      <c r="H17" s="50"/>
      <c r="I17" s="50"/>
      <c r="J17" s="49"/>
      <c r="K17" s="50"/>
      <c r="L17" s="50"/>
      <c r="M17" s="50"/>
      <c r="N17" s="51"/>
      <c r="U17" s="48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1"/>
    </row>
    <row r="18" spans="2:36" x14ac:dyDescent="0.35">
      <c r="B18">
        <v>0.43641000000000002</v>
      </c>
      <c r="C18">
        <v>0.73770000000000002</v>
      </c>
      <c r="D18" s="68">
        <v>4.0289999999999999E-2</v>
      </c>
      <c r="E18" s="68">
        <v>2.383E-2</v>
      </c>
      <c r="F18" s="49"/>
      <c r="G18" s="49"/>
      <c r="H18" s="50"/>
      <c r="I18" s="50"/>
      <c r="J18" s="49"/>
      <c r="K18" s="50"/>
      <c r="L18" s="50"/>
      <c r="M18" s="50"/>
      <c r="N18" s="51"/>
      <c r="U18" s="48"/>
      <c r="V18" s="50"/>
      <c r="W18" s="50"/>
      <c r="X18" s="50"/>
      <c r="Y18" s="50"/>
      <c r="Z18" s="50"/>
      <c r="AA18" s="50"/>
      <c r="AB18" s="50">
        <f>0.7*Z9</f>
        <v>0.11899999999999999</v>
      </c>
      <c r="AC18" s="50"/>
      <c r="AD18" s="50"/>
      <c r="AE18" s="50"/>
      <c r="AH18" s="50"/>
      <c r="AI18" s="51"/>
    </row>
    <row r="19" spans="2:36" x14ac:dyDescent="0.35">
      <c r="B19">
        <v>0.48004999999999998</v>
      </c>
      <c r="C19">
        <v>0.78490000000000004</v>
      </c>
      <c r="D19" s="68">
        <v>4.2439999999999999E-2</v>
      </c>
      <c r="E19" s="68">
        <v>2.596E-2</v>
      </c>
      <c r="F19" s="49"/>
      <c r="G19" s="49"/>
      <c r="H19" s="50"/>
      <c r="I19" s="50"/>
      <c r="J19" s="49"/>
      <c r="K19" s="50"/>
      <c r="L19" s="50"/>
      <c r="M19" s="50"/>
      <c r="N19" s="51"/>
      <c r="R19">
        <v>52</v>
      </c>
      <c r="U19" s="48" t="s">
        <v>81</v>
      </c>
      <c r="V19" s="50" t="s">
        <v>63</v>
      </c>
      <c r="W19" s="50"/>
      <c r="X19" s="50"/>
      <c r="Y19" s="50"/>
      <c r="Z19" s="50"/>
      <c r="AA19" s="50"/>
      <c r="AB19" s="50" t="s">
        <v>88</v>
      </c>
      <c r="AC19" s="50"/>
      <c r="AD19" s="50"/>
      <c r="AE19" s="50"/>
      <c r="AF19" s="50"/>
      <c r="AG19" s="50"/>
      <c r="AH19" s="50"/>
      <c r="AI19" s="51"/>
    </row>
    <row r="20" spans="2:36" x14ac:dyDescent="0.35">
      <c r="B20">
        <v>0.52368999999999999</v>
      </c>
      <c r="C20">
        <v>0.8206</v>
      </c>
      <c r="D20" s="68">
        <v>4.4490000000000002E-2</v>
      </c>
      <c r="E20" s="68">
        <v>2.8400000000000002E-2</v>
      </c>
      <c r="F20" s="49"/>
      <c r="G20" s="49"/>
      <c r="H20" s="50"/>
      <c r="I20" s="50"/>
      <c r="J20" s="49"/>
      <c r="K20" s="50"/>
      <c r="L20" s="50"/>
      <c r="M20" s="50"/>
      <c r="N20" s="51"/>
      <c r="R20">
        <v>14</v>
      </c>
      <c r="U20" s="48" t="s">
        <v>77</v>
      </c>
      <c r="V20" s="50" t="s">
        <v>64</v>
      </c>
      <c r="W20" s="50" t="s">
        <v>95</v>
      </c>
      <c r="X20" s="50" t="s">
        <v>75</v>
      </c>
      <c r="Y20" s="50" t="s">
        <v>100</v>
      </c>
      <c r="Z20" s="50"/>
      <c r="AA20" s="50" t="s">
        <v>64</v>
      </c>
      <c r="AB20" s="50" t="s">
        <v>95</v>
      </c>
      <c r="AC20" s="50" t="s">
        <v>75</v>
      </c>
      <c r="AD20" s="50" t="s">
        <v>100</v>
      </c>
      <c r="AE20" s="50"/>
      <c r="AF20" s="50"/>
      <c r="AG20" s="50"/>
      <c r="AH20" s="51"/>
    </row>
    <row r="21" spans="2:36" x14ac:dyDescent="0.35">
      <c r="B21">
        <v>0.56733</v>
      </c>
      <c r="C21">
        <v>0.87290000000000001</v>
      </c>
      <c r="D21" s="68">
        <v>4.3659999999999997E-2</v>
      </c>
      <c r="E21" s="68">
        <v>2.8379999999999999E-2</v>
      </c>
      <c r="F21" s="49"/>
      <c r="G21" s="49"/>
      <c r="H21" s="50"/>
      <c r="I21" s="50"/>
      <c r="J21" s="49"/>
      <c r="K21" s="50"/>
      <c r="L21" s="50"/>
      <c r="M21" s="50"/>
      <c r="N21" s="51"/>
      <c r="R21">
        <f>120*R19/R20</f>
        <v>445.71428571428572</v>
      </c>
      <c r="U21" s="48">
        <v>1</v>
      </c>
      <c r="V21" s="50">
        <v>81489</v>
      </c>
      <c r="W21" s="50">
        <v>1.0664</v>
      </c>
      <c r="X21" s="66">
        <v>-2.2355999999999998</v>
      </c>
      <c r="Y21" s="50">
        <f>Y11/X21</f>
        <v>1.3533989671052151</v>
      </c>
      <c r="Z21" s="50"/>
      <c r="AA21" s="50">
        <v>197623</v>
      </c>
      <c r="AB21" s="50">
        <v>1.0134000000000001</v>
      </c>
      <c r="AC21" s="50">
        <v>-1.8661000000000001</v>
      </c>
      <c r="AD21" s="50">
        <f>AB11/AC21</f>
        <v>3.3150269177828924</v>
      </c>
      <c r="AE21" s="50"/>
      <c r="AF21" s="50"/>
      <c r="AG21" s="50"/>
      <c r="AH21" s="51"/>
    </row>
    <row r="22" spans="2:36" x14ac:dyDescent="0.35">
      <c r="B22">
        <v>0.61097000000000001</v>
      </c>
      <c r="C22">
        <v>0.8891</v>
      </c>
      <c r="D22" s="68">
        <v>3.8120000000000001E-2</v>
      </c>
      <c r="E22" s="68">
        <v>2.6200000000000001E-2</v>
      </c>
      <c r="F22" s="49"/>
      <c r="G22" s="49"/>
      <c r="H22" s="50"/>
      <c r="I22" s="50"/>
      <c r="J22" s="49"/>
      <c r="K22" s="50"/>
      <c r="L22" s="50"/>
      <c r="M22" s="50"/>
      <c r="N22" s="51"/>
      <c r="U22" s="48">
        <v>2</v>
      </c>
      <c r="V22" s="50">
        <v>83471</v>
      </c>
      <c r="W22" s="50">
        <v>1.1065</v>
      </c>
      <c r="X22" s="66">
        <v>-2.2395999999999998</v>
      </c>
      <c r="Y22" s="50">
        <f>Y12/X22</f>
        <v>1.2925864612287534</v>
      </c>
      <c r="Z22" s="50"/>
      <c r="AA22" s="50">
        <v>206624</v>
      </c>
      <c r="AB22" s="50">
        <v>1.0809</v>
      </c>
      <c r="AC22" s="50">
        <v>-2.4068000000000001</v>
      </c>
      <c r="AD22" s="50">
        <f>AB12/AC22</f>
        <v>2.3529522236828768</v>
      </c>
      <c r="AE22" s="50"/>
      <c r="AF22" s="50"/>
      <c r="AG22" s="50"/>
      <c r="AH22" s="51"/>
    </row>
    <row r="23" spans="2:36" x14ac:dyDescent="0.35">
      <c r="B23">
        <v>0.65461000000000003</v>
      </c>
      <c r="C23">
        <v>0.90129999999999999</v>
      </c>
      <c r="D23" s="68">
        <v>3.243E-2</v>
      </c>
      <c r="E23" s="68">
        <v>2.3560000000000001E-2</v>
      </c>
      <c r="F23" s="49"/>
      <c r="G23" s="49"/>
      <c r="H23" s="50"/>
      <c r="I23" s="50"/>
      <c r="J23" s="49"/>
      <c r="K23" s="50"/>
      <c r="L23" s="50"/>
      <c r="M23" s="50"/>
      <c r="N23" s="51"/>
      <c r="R23">
        <f>85*R19/R20</f>
        <v>315.71428571428572</v>
      </c>
      <c r="U23" s="48">
        <v>3</v>
      </c>
      <c r="V23" s="50">
        <v>86575</v>
      </c>
      <c r="W23" s="75">
        <v>1.1335</v>
      </c>
      <c r="X23" s="66">
        <v>-2.7826</v>
      </c>
      <c r="Y23" s="50">
        <f>Y13/X23</f>
        <v>0.97043860135340676</v>
      </c>
      <c r="Z23" s="50"/>
      <c r="AA23" s="50">
        <v>220457</v>
      </c>
      <c r="AB23" s="50">
        <v>1.1244000000000001</v>
      </c>
      <c r="AC23" s="66">
        <v>-2.7976999999999999</v>
      </c>
      <c r="AD23" s="50">
        <f>AB13/AC23</f>
        <v>1.7741624302847956</v>
      </c>
      <c r="AE23" s="50"/>
      <c r="AF23" s="50"/>
      <c r="AG23" s="50"/>
      <c r="AH23" s="51"/>
    </row>
    <row r="24" spans="2:36" x14ac:dyDescent="0.35">
      <c r="B24">
        <v>0.69825000000000004</v>
      </c>
      <c r="C24">
        <v>0.90890000000000004</v>
      </c>
      <c r="D24" s="68">
        <v>2.6610000000000002E-2</v>
      </c>
      <c r="E24" s="68">
        <v>2.044E-2</v>
      </c>
      <c r="F24" s="49"/>
      <c r="G24" s="49"/>
      <c r="H24" s="50"/>
      <c r="I24" s="50"/>
      <c r="J24" s="49"/>
      <c r="K24" s="50"/>
      <c r="L24" s="50"/>
      <c r="M24" s="50"/>
      <c r="N24" s="51"/>
      <c r="U24" s="48">
        <v>4</v>
      </c>
      <c r="V24" s="50">
        <v>90712</v>
      </c>
      <c r="W24" s="50">
        <v>1.1472</v>
      </c>
      <c r="X24" s="83">
        <v>-2.9142000000000001</v>
      </c>
      <c r="Y24" s="50">
        <f>Y14/X24</f>
        <v>0.84693621470948166</v>
      </c>
      <c r="Z24" s="50"/>
      <c r="AA24" s="50">
        <v>238396</v>
      </c>
      <c r="AB24" s="50">
        <v>1.1452</v>
      </c>
      <c r="AC24" s="66">
        <v>-2.9984999999999999</v>
      </c>
      <c r="AD24" s="50">
        <f>AB14/AC24</f>
        <v>1.4112972175717111</v>
      </c>
      <c r="AE24" s="50"/>
      <c r="AF24" s="50"/>
      <c r="AG24" s="50"/>
      <c r="AH24" s="51"/>
    </row>
    <row r="25" spans="2:36" x14ac:dyDescent="0.35">
      <c r="B25">
        <v>0.74189000000000005</v>
      </c>
      <c r="C25">
        <v>0.90920000000000001</v>
      </c>
      <c r="D25" s="68">
        <v>2.0650000000000002E-2</v>
      </c>
      <c r="E25" s="68">
        <v>1.685E-2</v>
      </c>
      <c r="F25" s="49"/>
      <c r="G25" s="49"/>
      <c r="H25" s="50"/>
      <c r="I25" s="50"/>
      <c r="J25" s="49"/>
      <c r="K25" s="50"/>
      <c r="L25" s="50"/>
      <c r="M25" s="50"/>
      <c r="N25" s="51"/>
      <c r="U25" s="48">
        <v>5</v>
      </c>
      <c r="V25" s="50">
        <v>95837</v>
      </c>
      <c r="W25" s="50">
        <v>0.83389999999999997</v>
      </c>
      <c r="X25" s="83">
        <v>-2</v>
      </c>
      <c r="Y25" s="50">
        <f>Y15/X25</f>
        <v>1.1112169950359265</v>
      </c>
      <c r="Z25" s="50"/>
      <c r="AA25" s="50">
        <v>259796</v>
      </c>
      <c r="AB25" s="50">
        <v>0.86229999999999996</v>
      </c>
      <c r="AC25" s="50">
        <v>-1.2097</v>
      </c>
      <c r="AD25" s="50">
        <f>AB15/AC25</f>
        <v>2.9407577027361391</v>
      </c>
      <c r="AE25" s="50"/>
      <c r="AF25" s="50"/>
      <c r="AG25" s="50"/>
      <c r="AH25" s="51"/>
    </row>
    <row r="26" spans="2:36" ht="15" thickBot="1" x14ac:dyDescent="0.4">
      <c r="B26">
        <v>0.78552999999999995</v>
      </c>
      <c r="C26">
        <v>0.89359999999999995</v>
      </c>
      <c r="D26" s="68">
        <v>1.452E-2</v>
      </c>
      <c r="E26" s="68">
        <v>1.2760000000000001E-2</v>
      </c>
      <c r="F26" s="49"/>
      <c r="G26" s="49"/>
      <c r="H26" s="50"/>
      <c r="I26" s="50"/>
      <c r="J26" s="50"/>
      <c r="K26" s="50"/>
      <c r="L26" s="50"/>
      <c r="M26" s="50"/>
      <c r="N26" s="51"/>
      <c r="U26" s="60">
        <v>6</v>
      </c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6"/>
    </row>
    <row r="27" spans="2:36" x14ac:dyDescent="0.35">
      <c r="B27">
        <v>0.82916999999999996</v>
      </c>
      <c r="C27">
        <v>0.83330000000000004</v>
      </c>
      <c r="D27" s="68">
        <v>8.2229999999999994E-3</v>
      </c>
      <c r="E27" s="68">
        <v>8.182E-3</v>
      </c>
      <c r="F27" s="49"/>
      <c r="G27" s="49"/>
      <c r="H27" s="50"/>
      <c r="I27" s="50"/>
      <c r="J27" s="50"/>
      <c r="K27" s="50"/>
      <c r="L27" s="50"/>
      <c r="M27" s="50"/>
      <c r="N27" s="51"/>
    </row>
    <row r="28" spans="2:36" x14ac:dyDescent="0.35">
      <c r="B28">
        <v>0.87280999999999997</v>
      </c>
      <c r="C28">
        <v>0.49469999999999997</v>
      </c>
      <c r="D28" s="68">
        <v>1.75E-3</v>
      </c>
      <c r="E28" s="68">
        <v>3.088E-3</v>
      </c>
      <c r="F28" s="49"/>
      <c r="G28" s="49"/>
      <c r="H28" s="50"/>
      <c r="I28" s="50"/>
      <c r="J28" s="50"/>
      <c r="K28" s="50"/>
      <c r="L28" s="50"/>
      <c r="M28" s="50"/>
      <c r="N28" s="51"/>
    </row>
    <row r="29" spans="2:36" ht="15" thickBot="1" x14ac:dyDescent="0.4">
      <c r="D29" s="68"/>
      <c r="E29" s="68"/>
      <c r="F29" s="54"/>
      <c r="G29" s="54"/>
      <c r="H29" s="55"/>
      <c r="I29" s="55"/>
      <c r="J29" s="55"/>
      <c r="K29" s="55"/>
      <c r="L29" s="55"/>
      <c r="M29" s="55"/>
      <c r="N29" s="56"/>
    </row>
    <row r="30" spans="2:36" x14ac:dyDescent="0.35">
      <c r="D30" s="68"/>
      <c r="E30" s="68"/>
      <c r="F30" s="49"/>
      <c r="G30" s="49"/>
      <c r="H30" s="50"/>
      <c r="I30" s="50"/>
      <c r="J30" s="50"/>
      <c r="K30" s="50"/>
      <c r="L30" s="50"/>
      <c r="M30" s="50"/>
      <c r="N30" s="50"/>
    </row>
    <row r="31" spans="2:36" x14ac:dyDescent="0.35">
      <c r="D31" s="68"/>
      <c r="E31" s="68"/>
      <c r="F31" s="49"/>
      <c r="G31" s="49"/>
      <c r="H31" s="50"/>
      <c r="I31" s="50"/>
      <c r="J31" s="50"/>
      <c r="K31" s="50"/>
      <c r="L31" s="50"/>
      <c r="M31" s="50"/>
      <c r="N31" s="50"/>
    </row>
    <row r="32" spans="2:36" x14ac:dyDescent="0.35">
      <c r="D32" s="68"/>
      <c r="E32" s="68"/>
      <c r="F32" s="49"/>
      <c r="G32" s="49"/>
      <c r="H32" s="50"/>
      <c r="I32" s="50"/>
      <c r="J32" s="50"/>
      <c r="K32" s="50"/>
      <c r="L32" s="50"/>
      <c r="M32" s="50"/>
      <c r="N32" s="50"/>
    </row>
    <row r="33" spans="2:17" x14ac:dyDescent="0.35">
      <c r="D33" s="68"/>
      <c r="E33" s="68"/>
      <c r="F33" s="49"/>
      <c r="G33" s="49"/>
      <c r="H33" s="50"/>
      <c r="I33" s="50"/>
      <c r="J33" s="50"/>
      <c r="K33" s="50"/>
      <c r="L33" s="50"/>
      <c r="M33" s="50"/>
      <c r="N33" s="50"/>
    </row>
    <row r="34" spans="2:17" x14ac:dyDescent="0.35">
      <c r="D34" s="68"/>
      <c r="E34" s="68"/>
      <c r="F34" s="49"/>
      <c r="G34" s="49"/>
      <c r="H34" s="50"/>
      <c r="I34" s="50"/>
      <c r="J34" s="50"/>
      <c r="K34" s="50"/>
      <c r="L34" s="50"/>
      <c r="M34" s="50"/>
      <c r="N34" s="50"/>
    </row>
    <row r="35" spans="2:17" x14ac:dyDescent="0.35">
      <c r="B35" s="49"/>
      <c r="C35" s="49"/>
      <c r="D35" s="49"/>
      <c r="E35" s="49"/>
      <c r="F35" s="49"/>
      <c r="G35" s="49"/>
      <c r="H35" s="50"/>
      <c r="I35" s="50"/>
      <c r="J35" s="50"/>
      <c r="K35" s="50"/>
      <c r="L35" s="50"/>
      <c r="M35" s="50"/>
      <c r="N35" s="50"/>
    </row>
    <row r="36" spans="2:17" x14ac:dyDescent="0.35">
      <c r="B36" s="49"/>
      <c r="C36" s="49"/>
      <c r="D36" s="49"/>
      <c r="E36" s="49"/>
      <c r="F36" s="49"/>
      <c r="G36" s="49"/>
      <c r="H36" s="50"/>
      <c r="I36" s="50"/>
      <c r="J36" s="50"/>
      <c r="K36" s="50"/>
      <c r="L36" s="50"/>
      <c r="M36" s="50"/>
      <c r="N36" s="50"/>
    </row>
    <row r="37" spans="2:17" x14ac:dyDescent="0.35">
      <c r="B37" s="49"/>
      <c r="C37" s="49"/>
      <c r="D37" s="49"/>
      <c r="E37" s="49"/>
      <c r="F37" s="49"/>
      <c r="G37" s="49"/>
      <c r="H37" s="50"/>
      <c r="I37" s="50"/>
      <c r="J37" s="50"/>
      <c r="K37" s="50"/>
      <c r="L37" s="50"/>
      <c r="M37" s="50"/>
      <c r="N37" s="50"/>
    </row>
    <row r="38" spans="2:17" x14ac:dyDescent="0.35">
      <c r="B38" s="49"/>
      <c r="C38" s="49"/>
      <c r="D38" s="49"/>
      <c r="E38" s="49"/>
      <c r="F38" s="49"/>
      <c r="G38" s="49"/>
      <c r="H38" s="50"/>
      <c r="I38" s="50"/>
      <c r="J38" s="50"/>
      <c r="K38" s="50"/>
      <c r="L38" s="50"/>
      <c r="M38" s="50"/>
      <c r="N38" s="50"/>
    </row>
    <row r="39" spans="2:17" ht="15" thickBot="1" x14ac:dyDescent="0.4">
      <c r="F39" s="1"/>
      <c r="G39" s="1"/>
    </row>
    <row r="40" spans="2:17" x14ac:dyDescent="0.35">
      <c r="B40" s="45"/>
      <c r="C40" s="46">
        <v>1</v>
      </c>
      <c r="D40" s="46">
        <v>2</v>
      </c>
      <c r="E40" s="46">
        <v>3</v>
      </c>
      <c r="F40" s="46">
        <v>4</v>
      </c>
      <c r="G40" s="46">
        <v>5</v>
      </c>
      <c r="H40" s="46">
        <v>6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8" t="s">
        <v>62</v>
      </c>
      <c r="C41" s="50" t="s">
        <v>64</v>
      </c>
      <c r="D41" s="50" t="s">
        <v>65</v>
      </c>
      <c r="E41" s="50" t="s">
        <v>64</v>
      </c>
      <c r="F41" s="50" t="s">
        <v>66</v>
      </c>
      <c r="G41" s="50" t="s">
        <v>64</v>
      </c>
      <c r="H41" s="50" t="s">
        <v>64</v>
      </c>
      <c r="I41" s="50"/>
      <c r="J41" s="50"/>
      <c r="K41" s="50"/>
      <c r="L41" s="50"/>
      <c r="M41" s="50"/>
      <c r="N41" s="50"/>
      <c r="O41" s="50"/>
      <c r="P41" s="50"/>
      <c r="Q41" s="51"/>
    </row>
    <row r="42" spans="2:17" x14ac:dyDescent="0.35">
      <c r="B42" s="48">
        <v>3.7100000000000001E-2</v>
      </c>
      <c r="C42" s="50">
        <v>19940</v>
      </c>
      <c r="D42" s="50">
        <v>27915</v>
      </c>
      <c r="E42" s="50">
        <v>37619</v>
      </c>
      <c r="F42" s="50">
        <v>48020</v>
      </c>
      <c r="G42" s="50">
        <v>59317</v>
      </c>
      <c r="H42" s="50">
        <v>70660</v>
      </c>
      <c r="I42" s="50"/>
      <c r="J42" s="50"/>
      <c r="K42" s="50"/>
      <c r="L42" s="50"/>
      <c r="M42" s="50"/>
      <c r="N42" s="50"/>
      <c r="O42" s="50"/>
      <c r="P42" s="50"/>
      <c r="Q42" s="51"/>
    </row>
    <row r="43" spans="2:17" x14ac:dyDescent="0.35">
      <c r="B43" s="48">
        <v>4.3799999999999999E-2</v>
      </c>
      <c r="C43" s="50">
        <v>25545</v>
      </c>
      <c r="D43" s="50">
        <v>33878</v>
      </c>
      <c r="E43" s="50">
        <v>44415</v>
      </c>
      <c r="F43" s="50">
        <v>55931</v>
      </c>
      <c r="G43" s="50">
        <v>68814</v>
      </c>
      <c r="H43" s="50">
        <v>81767</v>
      </c>
      <c r="I43" s="50"/>
      <c r="J43" s="50"/>
      <c r="K43" s="50"/>
      <c r="L43" s="50"/>
      <c r="M43" s="50"/>
      <c r="N43" s="50"/>
      <c r="O43" s="50"/>
      <c r="P43" s="50"/>
      <c r="Q43" s="51"/>
    </row>
    <row r="44" spans="2:17" x14ac:dyDescent="0.35">
      <c r="B44" s="48">
        <v>5.04E-2</v>
      </c>
      <c r="C44" s="50">
        <v>31606</v>
      </c>
      <c r="D44" s="50">
        <v>40106</v>
      </c>
      <c r="E44" s="50">
        <v>51222</v>
      </c>
      <c r="F44" s="50">
        <v>63607</v>
      </c>
      <c r="G44" s="50">
        <v>77927</v>
      </c>
      <c r="H44" s="50">
        <v>92344</v>
      </c>
      <c r="I44" s="50"/>
      <c r="J44" s="50"/>
      <c r="K44" s="50"/>
      <c r="L44" s="50"/>
      <c r="M44" s="50"/>
      <c r="N44" s="50"/>
      <c r="O44" s="50"/>
      <c r="P44" s="50"/>
      <c r="Q44" s="51"/>
    </row>
    <row r="45" spans="2:17" x14ac:dyDescent="0.35">
      <c r="B45" s="48">
        <v>5.7099999999999998E-2</v>
      </c>
      <c r="C45" s="50">
        <v>38001</v>
      </c>
      <c r="D45" s="50">
        <v>46524</v>
      </c>
      <c r="E45" s="50">
        <v>57997</v>
      </c>
      <c r="F45" s="50">
        <v>71021</v>
      </c>
      <c r="G45" s="50">
        <v>86627</v>
      </c>
      <c r="H45" s="50">
        <v>102359</v>
      </c>
      <c r="I45" s="50"/>
      <c r="J45" s="50"/>
      <c r="K45" s="50"/>
      <c r="L45" s="50"/>
      <c r="M45" s="50"/>
      <c r="N45" s="50"/>
      <c r="O45" s="50"/>
      <c r="P45" s="50"/>
      <c r="Q45" s="51"/>
    </row>
    <row r="46" spans="2:17" x14ac:dyDescent="0.35">
      <c r="B46" s="48">
        <v>6.3700000000000007E-2</v>
      </c>
      <c r="C46" s="50">
        <v>44541</v>
      </c>
      <c r="D46" s="50">
        <v>52967</v>
      </c>
      <c r="E46" s="50">
        <v>64594</v>
      </c>
      <c r="F46" s="50">
        <v>78023</v>
      </c>
      <c r="G46" s="50">
        <v>94743</v>
      </c>
      <c r="H46" s="50">
        <v>111620</v>
      </c>
      <c r="I46" s="50"/>
      <c r="J46" s="50"/>
      <c r="K46" s="50"/>
      <c r="L46" s="50"/>
      <c r="M46" s="50"/>
      <c r="N46" s="50"/>
      <c r="O46" s="50"/>
      <c r="P46" s="50"/>
      <c r="Q46" s="51"/>
    </row>
    <row r="47" spans="2:17" x14ac:dyDescent="0.35">
      <c r="B47" s="48">
        <v>7.0400000000000004E-2</v>
      </c>
      <c r="C47" s="50">
        <v>50989</v>
      </c>
      <c r="D47" s="50">
        <v>59211</v>
      </c>
      <c r="E47" s="50">
        <v>70798</v>
      </c>
      <c r="F47" s="50">
        <v>84400</v>
      </c>
      <c r="G47" s="50">
        <v>102031</v>
      </c>
      <c r="H47" s="50">
        <v>119847</v>
      </c>
      <c r="I47" s="50"/>
      <c r="J47" s="50"/>
      <c r="K47" s="50"/>
      <c r="L47" s="50"/>
      <c r="M47" s="50"/>
      <c r="N47" s="50"/>
      <c r="O47" s="50"/>
      <c r="P47" s="50"/>
      <c r="Q47" s="51"/>
    </row>
    <row r="48" spans="2:17" x14ac:dyDescent="0.35">
      <c r="B48" s="48">
        <v>7.6999999999999999E-2</v>
      </c>
      <c r="C48" s="50">
        <v>57132</v>
      </c>
      <c r="D48" s="50">
        <v>65063</v>
      </c>
      <c r="E48" s="50">
        <v>76441</v>
      </c>
      <c r="F48" s="50">
        <v>89997</v>
      </c>
      <c r="G48" s="50">
        <v>108322</v>
      </c>
      <c r="H48" s="50">
        <v>126858</v>
      </c>
      <c r="I48" s="50"/>
      <c r="J48" s="50"/>
      <c r="K48" s="50"/>
      <c r="L48" s="50"/>
      <c r="M48" s="50"/>
      <c r="N48" s="50"/>
      <c r="O48" s="50"/>
      <c r="P48" s="50"/>
      <c r="Q48" s="51"/>
    </row>
    <row r="49" spans="2:17" x14ac:dyDescent="0.35">
      <c r="B49" s="48">
        <v>8.3699999999999997E-2</v>
      </c>
      <c r="C49" s="50">
        <v>62876</v>
      </c>
      <c r="D49" s="50">
        <v>70457</v>
      </c>
      <c r="E49" s="50">
        <v>81500</v>
      </c>
      <c r="F49" s="50">
        <v>94836</v>
      </c>
      <c r="G49" s="50">
        <v>113663</v>
      </c>
      <c r="H49" s="50">
        <v>132724</v>
      </c>
      <c r="I49" s="50"/>
      <c r="J49" s="50"/>
      <c r="K49" s="50"/>
      <c r="L49" s="50"/>
      <c r="M49" s="50"/>
      <c r="N49" s="50"/>
      <c r="O49" s="50"/>
      <c r="P49" s="50"/>
      <c r="Q49" s="51"/>
    </row>
    <row r="50" spans="2:17" x14ac:dyDescent="0.35">
      <c r="B50" s="48">
        <v>9.0300000000000005E-2</v>
      </c>
      <c r="C50" s="50">
        <v>68166</v>
      </c>
      <c r="D50" s="50">
        <v>75362</v>
      </c>
      <c r="E50" s="50">
        <v>85983</v>
      </c>
      <c r="F50" s="50">
        <v>98966</v>
      </c>
      <c r="G50" s="50">
        <v>118130</v>
      </c>
      <c r="H50" s="50">
        <v>137547</v>
      </c>
      <c r="I50" s="50"/>
      <c r="J50" s="50"/>
      <c r="K50" s="50"/>
      <c r="L50" s="50"/>
      <c r="M50" s="50"/>
      <c r="N50" s="50"/>
      <c r="O50" s="50"/>
      <c r="P50" s="50"/>
      <c r="Q50" s="51"/>
    </row>
    <row r="51" spans="2:17" x14ac:dyDescent="0.35">
      <c r="B51" s="48">
        <v>9.7000000000000003E-2</v>
      </c>
      <c r="C51" s="50">
        <v>72939</v>
      </c>
      <c r="D51" s="50">
        <v>79732</v>
      </c>
      <c r="E51" s="50">
        <v>89869</v>
      </c>
      <c r="F51" s="50">
        <v>102399</v>
      </c>
      <c r="G51" s="50">
        <v>121753</v>
      </c>
      <c r="H51" s="50">
        <v>141374</v>
      </c>
      <c r="I51" s="50"/>
      <c r="J51" s="50"/>
      <c r="K51" s="50"/>
      <c r="L51" s="50"/>
      <c r="M51" s="50"/>
      <c r="N51" s="50"/>
      <c r="O51" s="50"/>
      <c r="P51" s="50"/>
      <c r="Q51" s="51"/>
    </row>
    <row r="52" spans="2:17" x14ac:dyDescent="0.35">
      <c r="B52" s="48">
        <v>0.1036</v>
      </c>
      <c r="C52" s="50">
        <v>77129</v>
      </c>
      <c r="D52" s="50">
        <v>83508</v>
      </c>
      <c r="E52" s="50">
        <v>93118</v>
      </c>
      <c r="F52" s="50">
        <v>105117</v>
      </c>
      <c r="G52" s="50">
        <v>124526</v>
      </c>
      <c r="H52" s="50">
        <v>144211</v>
      </c>
      <c r="I52" s="50"/>
      <c r="J52" s="50"/>
      <c r="K52" s="50"/>
      <c r="L52" s="50"/>
      <c r="M52" s="50"/>
      <c r="N52" s="50"/>
      <c r="O52" s="50"/>
      <c r="P52" s="50"/>
      <c r="Q52" s="51"/>
    </row>
    <row r="53" spans="2:17" x14ac:dyDescent="0.35">
      <c r="B53" s="48">
        <v>0.1103</v>
      </c>
      <c r="C53" s="50">
        <v>80682</v>
      </c>
      <c r="D53" s="50">
        <v>86644</v>
      </c>
      <c r="E53" s="50">
        <v>95700</v>
      </c>
      <c r="F53" s="50">
        <v>107110</v>
      </c>
      <c r="G53" s="50">
        <v>126446</v>
      </c>
      <c r="H53" s="50">
        <v>146066</v>
      </c>
      <c r="I53" s="50"/>
      <c r="J53" s="50"/>
      <c r="K53" s="50"/>
      <c r="L53" s="50"/>
      <c r="M53" s="50"/>
      <c r="N53" s="50"/>
      <c r="O53" s="50"/>
      <c r="P53" s="50"/>
      <c r="Q53" s="51"/>
    </row>
    <row r="54" spans="2:17" x14ac:dyDescent="0.35">
      <c r="B54" s="48">
        <v>0.1169</v>
      </c>
      <c r="C54" s="50">
        <v>83565</v>
      </c>
      <c r="D54" s="50">
        <v>89112</v>
      </c>
      <c r="E54" s="50">
        <v>97599</v>
      </c>
      <c r="F54" s="50">
        <v>108381</v>
      </c>
      <c r="G54" s="50">
        <v>127529</v>
      </c>
      <c r="H54" s="50">
        <v>146964</v>
      </c>
      <c r="I54" s="50"/>
      <c r="J54" s="50"/>
      <c r="K54" s="50"/>
      <c r="L54" s="50"/>
      <c r="M54" s="50"/>
      <c r="N54" s="50"/>
      <c r="O54" s="50"/>
      <c r="P54" s="50"/>
      <c r="Q54" s="51"/>
    </row>
    <row r="55" spans="2:17" x14ac:dyDescent="0.35">
      <c r="B55" s="48">
        <v>0.1235</v>
      </c>
      <c r="C55" s="50">
        <v>85760</v>
      </c>
      <c r="D55" s="50">
        <v>90900</v>
      </c>
      <c r="E55" s="50">
        <v>98814</v>
      </c>
      <c r="F55" s="50">
        <v>108942</v>
      </c>
      <c r="G55" s="50">
        <v>127799</v>
      </c>
      <c r="H55" s="50">
        <v>146940</v>
      </c>
      <c r="I55" s="50"/>
      <c r="J55" s="50"/>
      <c r="K55" s="50"/>
      <c r="L55" s="50"/>
      <c r="M55" s="50"/>
      <c r="N55" s="50"/>
      <c r="O55" s="50"/>
      <c r="P55" s="50"/>
      <c r="Q55" s="51"/>
    </row>
    <row r="56" spans="2:17" x14ac:dyDescent="0.35">
      <c r="B56" s="48">
        <v>0.13020000000000001</v>
      </c>
      <c r="C56" s="50">
        <v>87219</v>
      </c>
      <c r="D56" s="50">
        <v>91960</v>
      </c>
      <c r="E56" s="50">
        <v>99302</v>
      </c>
      <c r="F56" s="50">
        <v>108759</v>
      </c>
      <c r="G56" s="50">
        <v>127221</v>
      </c>
      <c r="H56" s="50">
        <v>145963</v>
      </c>
      <c r="I56" s="50"/>
      <c r="J56" s="50"/>
      <c r="K56" s="50"/>
      <c r="L56" s="50"/>
      <c r="M56" s="50"/>
      <c r="N56" s="50"/>
      <c r="O56" s="50"/>
      <c r="P56" s="50"/>
      <c r="Q56" s="51"/>
    </row>
    <row r="57" spans="2:17" x14ac:dyDescent="0.35">
      <c r="B57" s="48">
        <v>0.1368</v>
      </c>
      <c r="C57" s="50">
        <v>87823</v>
      </c>
      <c r="D57" s="50">
        <v>92172</v>
      </c>
      <c r="E57" s="50">
        <v>98939</v>
      </c>
      <c r="F57" s="50">
        <v>107710</v>
      </c>
      <c r="G57" s="50">
        <v>125658</v>
      </c>
      <c r="H57" s="50">
        <v>143879</v>
      </c>
      <c r="I57" s="50"/>
      <c r="J57" s="50"/>
      <c r="K57" s="50"/>
      <c r="L57" s="50"/>
      <c r="M57" s="50"/>
      <c r="N57" s="50"/>
      <c r="O57" s="50"/>
      <c r="P57" s="50"/>
      <c r="Q57" s="51"/>
    </row>
    <row r="58" spans="2:17" x14ac:dyDescent="0.35">
      <c r="B58" s="48">
        <v>0.14349999999999999</v>
      </c>
      <c r="C58" s="50">
        <v>87452</v>
      </c>
      <c r="D58" s="50">
        <v>91411</v>
      </c>
      <c r="E58" s="50">
        <v>97600</v>
      </c>
      <c r="F58" s="50">
        <v>105666</v>
      </c>
      <c r="G58" s="50">
        <v>122969</v>
      </c>
      <c r="H58" s="50">
        <v>140533</v>
      </c>
      <c r="I58" s="50"/>
      <c r="J58" s="50"/>
      <c r="K58" s="50"/>
      <c r="L58" s="50"/>
      <c r="M58" s="50"/>
      <c r="N58" s="50"/>
      <c r="O58" s="50"/>
      <c r="P58" s="50"/>
      <c r="Q58" s="51"/>
    </row>
    <row r="59" spans="2:17" x14ac:dyDescent="0.35">
      <c r="B59" s="48">
        <v>0.15010000000000001</v>
      </c>
      <c r="C59" s="50">
        <v>86073</v>
      </c>
      <c r="D59" s="50">
        <v>89648</v>
      </c>
      <c r="E59" s="50">
        <v>95261</v>
      </c>
      <c r="F59" s="50">
        <v>102611</v>
      </c>
      <c r="G59" s="50">
        <v>119139</v>
      </c>
      <c r="H59" s="50">
        <v>135914</v>
      </c>
      <c r="I59" s="50"/>
      <c r="J59" s="50"/>
      <c r="K59" s="50"/>
      <c r="L59" s="50"/>
      <c r="M59" s="50"/>
      <c r="N59" s="50"/>
      <c r="O59" s="50"/>
      <c r="P59" s="50"/>
      <c r="Q59" s="51"/>
    </row>
    <row r="60" spans="2:17" x14ac:dyDescent="0.35">
      <c r="B60" s="48">
        <v>0.15679999999999999</v>
      </c>
      <c r="C60" s="50">
        <v>83721</v>
      </c>
      <c r="D60" s="50">
        <v>86922</v>
      </c>
      <c r="E60" s="50">
        <v>91967</v>
      </c>
      <c r="F60" s="50">
        <v>98603</v>
      </c>
      <c r="G60" s="50">
        <v>114240</v>
      </c>
      <c r="H60" s="50">
        <v>130108</v>
      </c>
      <c r="I60" s="50"/>
      <c r="J60" s="50"/>
      <c r="K60" s="50"/>
      <c r="L60" s="50"/>
      <c r="M60" s="50"/>
      <c r="N60" s="50"/>
      <c r="O60" s="50"/>
      <c r="P60" s="50"/>
      <c r="Q60" s="51"/>
    </row>
    <row r="61" spans="2:17" x14ac:dyDescent="0.35">
      <c r="B61" s="48">
        <v>0.16339999999999999</v>
      </c>
      <c r="C61" s="50">
        <v>80335</v>
      </c>
      <c r="D61" s="50">
        <v>83172</v>
      </c>
      <c r="E61" s="50">
        <v>87657</v>
      </c>
      <c r="F61" s="50">
        <v>93582</v>
      </c>
      <c r="G61" s="50">
        <v>108207</v>
      </c>
      <c r="H61" s="50">
        <v>123044</v>
      </c>
      <c r="I61" s="50"/>
      <c r="J61" s="50"/>
      <c r="K61" s="50"/>
      <c r="L61" s="50"/>
      <c r="M61" s="50"/>
      <c r="N61" s="50"/>
      <c r="O61" s="50"/>
      <c r="P61" s="50"/>
      <c r="Q61" s="51"/>
    </row>
    <row r="62" spans="2:17" x14ac:dyDescent="0.35">
      <c r="B62" s="48">
        <v>0.1701</v>
      </c>
      <c r="C62" s="50">
        <v>75478</v>
      </c>
      <c r="D62" s="50">
        <v>77946</v>
      </c>
      <c r="E62" s="50">
        <v>81861</v>
      </c>
      <c r="F62" s="50">
        <v>87052</v>
      </c>
      <c r="G62" s="50">
        <v>100470</v>
      </c>
      <c r="H62" s="50">
        <v>114079</v>
      </c>
      <c r="I62" s="50"/>
      <c r="J62" s="50"/>
      <c r="K62" s="50"/>
      <c r="L62" s="50"/>
      <c r="M62" s="50"/>
      <c r="N62" s="50"/>
      <c r="O62" s="50"/>
      <c r="P62" s="50"/>
      <c r="Q62" s="51"/>
    </row>
    <row r="63" spans="2:17" x14ac:dyDescent="0.35">
      <c r="B63" s="48">
        <v>0.1767</v>
      </c>
      <c r="C63" s="50">
        <v>68589</v>
      </c>
      <c r="D63" s="50">
        <v>70671</v>
      </c>
      <c r="E63" s="50">
        <v>73984</v>
      </c>
      <c r="F63" s="50">
        <v>78392</v>
      </c>
      <c r="G63" s="50">
        <v>90319</v>
      </c>
      <c r="H63" s="50">
        <v>102413</v>
      </c>
      <c r="I63" s="50"/>
      <c r="J63" s="50"/>
      <c r="K63" s="50"/>
      <c r="L63" s="50"/>
      <c r="M63" s="50"/>
      <c r="N63" s="50"/>
      <c r="O63" s="50"/>
      <c r="P63" s="50"/>
      <c r="Q63" s="51"/>
    </row>
    <row r="64" spans="2:17" x14ac:dyDescent="0.35">
      <c r="B64" s="48">
        <v>0.18340000000000001</v>
      </c>
      <c r="C64" s="50">
        <v>59318</v>
      </c>
      <c r="D64" s="50">
        <v>60993</v>
      </c>
      <c r="E64" s="50">
        <v>63667</v>
      </c>
      <c r="F64" s="50">
        <v>67236</v>
      </c>
      <c r="G64" s="50">
        <v>77342</v>
      </c>
      <c r="H64" s="50">
        <v>87585</v>
      </c>
      <c r="I64" s="50"/>
      <c r="J64" s="50"/>
      <c r="K64" s="50"/>
      <c r="L64" s="50"/>
      <c r="M64" s="50"/>
      <c r="N64" s="50"/>
      <c r="O64" s="50"/>
      <c r="P64" s="50"/>
      <c r="Q64" s="51"/>
    </row>
    <row r="65" spans="2:17" x14ac:dyDescent="0.35">
      <c r="B65" s="48">
        <v>0.19</v>
      </c>
      <c r="C65" s="50">
        <v>47617</v>
      </c>
      <c r="D65" s="50">
        <v>48872</v>
      </c>
      <c r="E65" s="50">
        <v>50879</v>
      </c>
      <c r="F65" s="50">
        <v>53568</v>
      </c>
      <c r="G65" s="50">
        <v>61526</v>
      </c>
      <c r="H65" s="50">
        <v>69592</v>
      </c>
      <c r="I65" s="50"/>
      <c r="J65" s="50"/>
      <c r="K65" s="50"/>
      <c r="L65" s="50"/>
      <c r="M65" s="50"/>
      <c r="N65" s="50"/>
      <c r="O65" s="50"/>
      <c r="P65" s="50"/>
      <c r="Q65" s="51"/>
    </row>
    <row r="66" spans="2:17" ht="15" thickBot="1" x14ac:dyDescent="0.4">
      <c r="B66" s="60">
        <v>0.19670000000000001</v>
      </c>
      <c r="C66" s="55">
        <v>33458</v>
      </c>
      <c r="D66" s="55">
        <v>34285</v>
      </c>
      <c r="E66" s="55">
        <v>35609</v>
      </c>
      <c r="F66" s="55">
        <v>37388</v>
      </c>
      <c r="G66" s="55">
        <v>42884</v>
      </c>
      <c r="H66" s="55">
        <v>48451</v>
      </c>
      <c r="I66" s="55"/>
      <c r="J66" s="55"/>
      <c r="K66" s="55"/>
      <c r="L66" s="55"/>
      <c r="M66" s="55"/>
      <c r="N66" s="55"/>
      <c r="O66" s="55"/>
      <c r="P66" s="55"/>
      <c r="Q66" s="5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8:R31"/>
  <sheetViews>
    <sheetView workbookViewId="0">
      <selection activeCell="G20" sqref="G20:G31"/>
    </sheetView>
  </sheetViews>
  <sheetFormatPr defaultRowHeight="14.5" x14ac:dyDescent="0.35"/>
  <cols>
    <col min="8" max="8" width="9.1796875" customWidth="1"/>
  </cols>
  <sheetData>
    <row r="18" spans="2:18" x14ac:dyDescent="0.35">
      <c r="C18" s="89" t="s">
        <v>133</v>
      </c>
      <c r="D18" s="89"/>
      <c r="E18" s="89"/>
      <c r="F18" s="89"/>
      <c r="G18" s="77"/>
      <c r="I18" s="89" t="s">
        <v>134</v>
      </c>
      <c r="J18" s="89"/>
      <c r="K18" s="89"/>
      <c r="L18" s="89"/>
      <c r="M18" s="77"/>
      <c r="O18" s="89" t="s">
        <v>135</v>
      </c>
      <c r="P18" s="89"/>
      <c r="Q18" s="89"/>
      <c r="R18" s="89"/>
    </row>
    <row r="19" spans="2:18" x14ac:dyDescent="0.35">
      <c r="C19" s="80">
        <v>280</v>
      </c>
      <c r="D19" s="80">
        <v>300</v>
      </c>
      <c r="E19" s="80">
        <v>320</v>
      </c>
      <c r="F19" s="80">
        <v>340</v>
      </c>
      <c r="G19" s="80" t="s">
        <v>146</v>
      </c>
      <c r="I19" s="80">
        <v>280</v>
      </c>
      <c r="J19" s="80">
        <v>300</v>
      </c>
      <c r="K19" s="80">
        <v>320</v>
      </c>
      <c r="L19" s="80">
        <v>340</v>
      </c>
      <c r="M19" s="80"/>
      <c r="O19" s="80">
        <v>280</v>
      </c>
      <c r="P19" s="80">
        <v>300</v>
      </c>
      <c r="Q19" s="80">
        <v>320</v>
      </c>
      <c r="R19" s="80">
        <v>340</v>
      </c>
    </row>
    <row r="20" spans="2:18" x14ac:dyDescent="0.35">
      <c r="B20" s="81">
        <v>0.5</v>
      </c>
      <c r="C20" s="78">
        <v>47.80937057763763</v>
      </c>
      <c r="D20" s="65">
        <v>47.653635939738315</v>
      </c>
      <c r="E20" s="65">
        <v>49.324855353305502</v>
      </c>
      <c r="F20" s="65">
        <v>49.887823032606505</v>
      </c>
      <c r="G20" s="65"/>
      <c r="I20" s="78">
        <v>56.57341897214279</v>
      </c>
      <c r="J20" s="65">
        <v>56.387806406143888</v>
      </c>
      <c r="K20" s="65">
        <v>58.380695421295528</v>
      </c>
      <c r="L20" s="65">
        <v>59.053257370268078</v>
      </c>
      <c r="M20" s="65"/>
      <c r="O20" s="78">
        <v>88.559421599490548</v>
      </c>
      <c r="P20" s="65">
        <v>88.279039295399116</v>
      </c>
      <c r="Q20" s="65">
        <v>91.386930674592179</v>
      </c>
      <c r="R20" s="65">
        <v>92.458072274802419</v>
      </c>
    </row>
    <row r="21" spans="2:18" x14ac:dyDescent="0.35">
      <c r="B21" s="81">
        <v>1</v>
      </c>
      <c r="C21" s="78">
        <v>52.431791361128319</v>
      </c>
      <c r="D21" s="65">
        <v>52.414700523949676</v>
      </c>
      <c r="E21" s="65">
        <v>53.69420936122085</v>
      </c>
      <c r="F21" s="65">
        <v>54.237472028280649</v>
      </c>
      <c r="G21" s="65"/>
      <c r="I21" s="78">
        <v>61.423479556333767</v>
      </c>
      <c r="J21" s="65">
        <v>61.357542253760123</v>
      </c>
      <c r="K21" s="65">
        <v>62.987140683106745</v>
      </c>
      <c r="L21" s="65">
        <v>63.635144439752757</v>
      </c>
      <c r="M21" s="65"/>
      <c r="O21" s="78">
        <v>94.033656241569247</v>
      </c>
      <c r="P21" s="65">
        <v>93.804118935871557</v>
      </c>
      <c r="Q21" s="65">
        <v>96.734842898135383</v>
      </c>
      <c r="R21" s="65">
        <v>97.776815619741868</v>
      </c>
    </row>
    <row r="22" spans="2:18" x14ac:dyDescent="0.35">
      <c r="B22" s="81">
        <v>1.5</v>
      </c>
      <c r="C22" s="78">
        <v>57.831988817479925</v>
      </c>
      <c r="D22" s="65">
        <v>58.124374133044419</v>
      </c>
      <c r="E22" s="65">
        <v>58.978800551331055</v>
      </c>
      <c r="F22" s="65">
        <v>59.562721701750014</v>
      </c>
      <c r="G22" s="65"/>
      <c r="I22" s="78">
        <v>67.278970898058091</v>
      </c>
      <c r="J22" s="65">
        <v>67.523860903049169</v>
      </c>
      <c r="K22" s="65">
        <v>68.630349771590403</v>
      </c>
      <c r="L22" s="65">
        <v>69.304124398874123</v>
      </c>
      <c r="M22" s="65"/>
      <c r="O22" s="78">
        <v>100.96170395649122</v>
      </c>
      <c r="P22" s="65">
        <v>101.01870486142157</v>
      </c>
      <c r="Q22" s="65">
        <v>103.25705540679823</v>
      </c>
      <c r="R22" s="65">
        <v>104.28673363652473</v>
      </c>
    </row>
    <row r="23" spans="2:18" x14ac:dyDescent="0.35">
      <c r="B23" s="81">
        <v>2</v>
      </c>
      <c r="C23" s="78">
        <v>62.356687831468754</v>
      </c>
      <c r="D23" s="65">
        <v>62.985483249763732</v>
      </c>
      <c r="E23" s="65">
        <v>63.8829047215998</v>
      </c>
      <c r="F23" s="65">
        <v>64.586073582837386</v>
      </c>
      <c r="G23" s="65"/>
      <c r="I23" s="78">
        <v>72.735478723830937</v>
      </c>
      <c r="J23" s="65">
        <v>73.360279397271739</v>
      </c>
      <c r="K23" s="65">
        <v>74.337727381899256</v>
      </c>
      <c r="L23" s="65">
        <v>75.120326208425141</v>
      </c>
      <c r="M23" s="65"/>
      <c r="O23" s="78">
        <v>108.4334817696806</v>
      </c>
      <c r="P23" s="65">
        <v>108.92615744292358</v>
      </c>
      <c r="Q23" s="65">
        <v>110.58624491471575</v>
      </c>
      <c r="R23" s="65">
        <v>111.67660131165613</v>
      </c>
    </row>
    <row r="24" spans="2:18" x14ac:dyDescent="0.35">
      <c r="B24" s="81">
        <v>2.5</v>
      </c>
      <c r="C24" s="78">
        <v>63.999834926291776</v>
      </c>
      <c r="D24" s="65">
        <v>64.802906698627979</v>
      </c>
      <c r="E24" s="65">
        <v>66.086656976667456</v>
      </c>
      <c r="F24" s="65">
        <v>66.897899254675494</v>
      </c>
      <c r="G24" s="65"/>
      <c r="I24" s="78">
        <v>75.960685614556724</v>
      </c>
      <c r="J24" s="65">
        <v>76.865826421638914</v>
      </c>
      <c r="K24" s="65">
        <v>78.206631889446015</v>
      </c>
      <c r="L24" s="65">
        <v>79.134298979459615</v>
      </c>
      <c r="M24" s="65"/>
      <c r="O24" s="78">
        <v>115.22527551761692</v>
      </c>
      <c r="P24" s="65">
        <v>116.19888744322574</v>
      </c>
      <c r="Q24" s="65">
        <v>117.74326118193953</v>
      </c>
      <c r="R24" s="65">
        <v>118.97839427366785</v>
      </c>
    </row>
    <row r="25" spans="2:18" x14ac:dyDescent="0.35">
      <c r="B25" s="81">
        <v>3</v>
      </c>
      <c r="C25" s="78">
        <v>61.939789175609683</v>
      </c>
      <c r="D25" s="65">
        <v>62.716855123851715</v>
      </c>
      <c r="E25" s="65">
        <v>64.040042829706323</v>
      </c>
      <c r="F25" s="65">
        <v>64.811631384252536</v>
      </c>
      <c r="G25" s="65"/>
      <c r="I25" s="78">
        <v>75.501711918010315</v>
      </c>
      <c r="J25" s="65">
        <v>76.46053162795387</v>
      </c>
      <c r="K25" s="65">
        <v>78.094366042166499</v>
      </c>
      <c r="L25" s="65">
        <v>79.060230919958684</v>
      </c>
      <c r="M25" s="65"/>
      <c r="O25" s="78">
        <v>119.84246103307832</v>
      </c>
      <c r="P25" s="65">
        <v>121.20353419705425</v>
      </c>
      <c r="Q25" s="65">
        <v>123.15690138711764</v>
      </c>
      <c r="R25" s="65">
        <v>124.58054067843071</v>
      </c>
    </row>
    <row r="26" spans="2:18" x14ac:dyDescent="0.35">
      <c r="B26" s="81">
        <v>3.5</v>
      </c>
      <c r="C26" s="78">
        <v>57.532789339979985</v>
      </c>
      <c r="D26" s="65">
        <v>58.243404044184786</v>
      </c>
      <c r="E26" s="65">
        <v>59.194597886704486</v>
      </c>
      <c r="F26" s="65">
        <v>59.829393249126333</v>
      </c>
      <c r="G26" s="65"/>
      <c r="I26" s="78">
        <v>71.819769130043127</v>
      </c>
      <c r="J26" s="65">
        <v>72.711046595092981</v>
      </c>
      <c r="K26" s="65">
        <v>74.140871538719153</v>
      </c>
      <c r="L26" s="65">
        <v>74.999362343522932</v>
      </c>
      <c r="M26" s="65"/>
      <c r="O26" s="78">
        <v>120.93164809007172</v>
      </c>
      <c r="P26" s="65">
        <v>122.45736548033075</v>
      </c>
      <c r="Q26" s="65">
        <v>124.93345152710222</v>
      </c>
      <c r="R26" s="65">
        <v>126.47340224407223</v>
      </c>
    </row>
    <row r="27" spans="2:18" x14ac:dyDescent="0.35">
      <c r="B27" s="81">
        <v>4</v>
      </c>
      <c r="C27" s="78">
        <v>52.332073044709013</v>
      </c>
      <c r="D27" s="65">
        <v>52.986057409538198</v>
      </c>
      <c r="E27" s="65">
        <v>53.4543310845294</v>
      </c>
      <c r="F27" s="65">
        <v>53.93619929801477</v>
      </c>
      <c r="G27" s="65"/>
      <c r="I27" s="78">
        <v>66.525966678892843</v>
      </c>
      <c r="J27" s="65">
        <v>67.349810643603263</v>
      </c>
      <c r="K27" s="65">
        <v>68.293869116168622</v>
      </c>
      <c r="L27" s="65">
        <v>68.989603400566637</v>
      </c>
      <c r="M27" s="65"/>
      <c r="O27" s="78">
        <v>118.2616709916708</v>
      </c>
      <c r="P27" s="65">
        <v>119.75340083562055</v>
      </c>
      <c r="Q27" s="65">
        <v>122.31646434316978</v>
      </c>
      <c r="R27" s="65">
        <v>123.80935626648608</v>
      </c>
    </row>
    <row r="28" spans="2:18" x14ac:dyDescent="0.35">
      <c r="B28" s="81">
        <v>4.5</v>
      </c>
      <c r="C28" s="78">
        <v>47.138362995378301</v>
      </c>
      <c r="D28" s="65">
        <v>47.72013580980137</v>
      </c>
      <c r="E28" s="65">
        <v>47.769639781110925</v>
      </c>
      <c r="F28" s="65">
        <v>48.107730778186927</v>
      </c>
      <c r="G28" s="65"/>
      <c r="I28" s="78">
        <v>60.788761428085671</v>
      </c>
      <c r="J28" s="65">
        <v>61.549720090006289</v>
      </c>
      <c r="K28" s="65">
        <v>61.972696907612232</v>
      </c>
      <c r="L28" s="65">
        <v>62.503159502867398</v>
      </c>
      <c r="M28" s="65"/>
      <c r="O28" s="78">
        <v>112.90348277331664</v>
      </c>
      <c r="P28" s="65">
        <v>114.30140382347055</v>
      </c>
      <c r="Q28" s="65">
        <v>116.47654139779831</v>
      </c>
      <c r="R28" s="65">
        <v>117.80470875281537</v>
      </c>
    </row>
    <row r="29" spans="2:18" x14ac:dyDescent="0.35">
      <c r="B29" s="81">
        <v>5</v>
      </c>
      <c r="C29" s="78">
        <v>42.270785090769927</v>
      </c>
      <c r="D29" s="65">
        <v>42.737664308950684</v>
      </c>
      <c r="E29" s="65">
        <v>42.509922602915665</v>
      </c>
      <c r="F29" s="65">
        <v>42.713853776844537</v>
      </c>
      <c r="G29" s="65"/>
      <c r="I29" s="78">
        <v>55.173827687026538</v>
      </c>
      <c r="J29" s="65">
        <v>55.848691271279797</v>
      </c>
      <c r="K29" s="65">
        <v>55.840959056442166</v>
      </c>
      <c r="L29" s="65">
        <v>56.217097134445311</v>
      </c>
      <c r="M29" s="65"/>
      <c r="O29" s="78">
        <v>106.16716374923377</v>
      </c>
      <c r="P29" s="65">
        <v>107.48104843738105</v>
      </c>
      <c r="Q29" s="65">
        <v>109.03284167176257</v>
      </c>
      <c r="R29" s="65">
        <v>110.15409625759604</v>
      </c>
    </row>
    <row r="30" spans="2:18" x14ac:dyDescent="0.35">
      <c r="B30" s="81">
        <v>5.5</v>
      </c>
      <c r="C30" s="78">
        <v>37.833635518984003</v>
      </c>
      <c r="D30" s="65">
        <v>38.1251145092819</v>
      </c>
      <c r="E30" s="65">
        <v>37.799097309438494</v>
      </c>
      <c r="F30" s="65">
        <v>37.869916066718211</v>
      </c>
      <c r="G30" s="65"/>
      <c r="I30" s="78">
        <v>49.914236228117694</v>
      </c>
      <c r="J30" s="65">
        <v>50.456709079799957</v>
      </c>
      <c r="K30" s="65">
        <v>50.168033228918411</v>
      </c>
      <c r="L30" s="65">
        <v>50.3985749905966</v>
      </c>
      <c r="M30" s="65"/>
      <c r="O30" s="78">
        <v>98.954234470961325</v>
      </c>
      <c r="P30" s="65">
        <v>100.1908429804372</v>
      </c>
      <c r="Q30" s="65">
        <v>101.07661771774819</v>
      </c>
      <c r="R30" s="65">
        <v>101.98785473993017</v>
      </c>
    </row>
    <row r="31" spans="2:18" x14ac:dyDescent="0.35">
      <c r="B31" s="81">
        <v>6</v>
      </c>
      <c r="C31" s="78">
        <v>33.843913896063874</v>
      </c>
      <c r="D31" s="65">
        <v>33.887638200090649</v>
      </c>
      <c r="E31" s="65">
        <v>33.666648391074794</v>
      </c>
      <c r="F31" s="65">
        <v>33.592388418215542</v>
      </c>
      <c r="G31" s="65"/>
      <c r="I31" s="78">
        <v>45.089558656165487</v>
      </c>
      <c r="J31" s="65">
        <v>45.437912767504038</v>
      </c>
      <c r="K31" s="65">
        <v>45.049634064612071</v>
      </c>
      <c r="L31" s="65">
        <v>45.134790067955223</v>
      </c>
      <c r="M31" s="65"/>
      <c r="O31" s="78">
        <v>91.766254030151359</v>
      </c>
      <c r="P31" s="65">
        <v>92.909841475242899</v>
      </c>
      <c r="Q31" s="65">
        <v>93.197349954723393</v>
      </c>
      <c r="R31" s="65">
        <v>93.908666138442655</v>
      </c>
    </row>
  </sheetData>
  <mergeCells count="3">
    <mergeCell ref="C18:F18"/>
    <mergeCell ref="I18:L18"/>
    <mergeCell ref="O18:R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W134"/>
  <sheetViews>
    <sheetView topLeftCell="I1" workbookViewId="0">
      <selection activeCell="N9" sqref="N9"/>
    </sheetView>
  </sheetViews>
  <sheetFormatPr defaultRowHeight="14.5" x14ac:dyDescent="0.35"/>
  <cols>
    <col min="5" max="6" width="9.36328125" style="77" bestFit="1" customWidth="1"/>
    <col min="7" max="7" width="4.6328125" customWidth="1"/>
    <col min="9" max="9" width="8.90625" customWidth="1"/>
    <col min="11" max="11" width="7.26953125" customWidth="1"/>
  </cols>
  <sheetData>
    <row r="1" spans="1:23" x14ac:dyDescent="0.35">
      <c r="A1" t="s">
        <v>118</v>
      </c>
      <c r="Q1" s="71" t="s">
        <v>128</v>
      </c>
      <c r="R1" s="72">
        <f t="array" ref="R1:V1">LINEST(H5:H29,A5:A29^{1,2,3,4})</f>
        <v>-16261.859349816017</v>
      </c>
      <c r="S1" s="72">
        <v>3077.7963947794824</v>
      </c>
      <c r="T1" s="72">
        <v>-88.711022080420051</v>
      </c>
      <c r="U1" s="72">
        <v>9.384268128087081</v>
      </c>
      <c r="V1" s="73">
        <v>0.26851657831232068</v>
      </c>
    </row>
    <row r="2" spans="1:23" x14ac:dyDescent="0.35">
      <c r="A2" t="s">
        <v>115</v>
      </c>
      <c r="J2">
        <v>486</v>
      </c>
      <c r="K2" t="s">
        <v>113</v>
      </c>
      <c r="L2">
        <v>4</v>
      </c>
      <c r="M2" t="s">
        <v>121</v>
      </c>
      <c r="N2">
        <f>SUM(H5:H29)</f>
        <v>35.406587124793411</v>
      </c>
      <c r="O2" t="s">
        <v>123</v>
      </c>
      <c r="Q2" t="s">
        <v>137</v>
      </c>
      <c r="R2">
        <f>R1/5</f>
        <v>-3252.3718699632036</v>
      </c>
      <c r="S2">
        <f>S1/4</f>
        <v>769.4490986948706</v>
      </c>
      <c r="T2">
        <f>T1/3</f>
        <v>-29.570340693473351</v>
      </c>
      <c r="U2">
        <f>U1/2</f>
        <v>4.6921340640435405</v>
      </c>
      <c r="V2">
        <f>V1</f>
        <v>0.26851657831232068</v>
      </c>
      <c r="W2">
        <v>0</v>
      </c>
    </row>
    <row r="3" spans="1:23" x14ac:dyDescent="0.35">
      <c r="F3" s="77" t="s">
        <v>142</v>
      </c>
      <c r="G3">
        <v>0.05</v>
      </c>
      <c r="J3">
        <f>J2*PI()/30</f>
        <v>50.893800988154652</v>
      </c>
      <c r="K3" t="s">
        <v>120</v>
      </c>
      <c r="L3">
        <v>75</v>
      </c>
      <c r="M3" t="s">
        <v>122</v>
      </c>
      <c r="N3">
        <f>Q4/Q3</f>
        <v>6.3560491923183721E-2</v>
      </c>
      <c r="O3" t="s">
        <v>127</v>
      </c>
      <c r="Q3">
        <f>SUM(Q5:Q29)</f>
        <v>0.8523550299999999</v>
      </c>
      <c r="R3" t="s">
        <v>126</v>
      </c>
    </row>
    <row r="4" spans="1:23" x14ac:dyDescent="0.35">
      <c r="A4" t="s">
        <v>62</v>
      </c>
      <c r="B4" t="s">
        <v>116</v>
      </c>
      <c r="C4" t="s">
        <v>95</v>
      </c>
      <c r="D4" t="s">
        <v>117</v>
      </c>
      <c r="E4" s="77" t="s">
        <v>141</v>
      </c>
      <c r="F4" s="77" t="s">
        <v>119</v>
      </c>
      <c r="H4" t="s">
        <v>144</v>
      </c>
      <c r="I4" t="s">
        <v>145</v>
      </c>
      <c r="J4" s="74" t="s">
        <v>129</v>
      </c>
      <c r="K4" t="s">
        <v>130</v>
      </c>
      <c r="L4" s="74" t="s">
        <v>138</v>
      </c>
      <c r="N4">
        <f>N3*L3</f>
        <v>4.7670368942387791</v>
      </c>
      <c r="O4" t="s">
        <v>124</v>
      </c>
      <c r="Q4">
        <f>SUM(S5:S29)</f>
        <v>5.4176105000000009E-2</v>
      </c>
      <c r="R4" t="s">
        <v>125</v>
      </c>
    </row>
    <row r="5" spans="1:23" x14ac:dyDescent="0.35">
      <c r="A5">
        <v>2.5700000000000001E-2</v>
      </c>
      <c r="B5">
        <v>2.5600000000000001E-2</v>
      </c>
      <c r="C5">
        <v>1.1275999999999999</v>
      </c>
      <c r="D5">
        <v>8.4870000000000001E-2</v>
      </c>
      <c r="E5" s="79">
        <f>($J$3*A5)</f>
        <v>1.3079706853955746</v>
      </c>
      <c r="F5" s="79">
        <f>SQRT($L$2^2+E5^2)</f>
        <v>4.2084186238840555</v>
      </c>
      <c r="H5">
        <f>B5*C5*F5^2</f>
        <v>0.51124950464261021</v>
      </c>
      <c r="I5">
        <f>B5*D5*F5^2</f>
        <v>3.8479731694766164E-2</v>
      </c>
      <c r="J5">
        <v>0</v>
      </c>
      <c r="K5" s="82">
        <f>IF(J5="","",J5/1000)</f>
        <v>0</v>
      </c>
      <c r="L5" s="82">
        <f t="shared" ref="L5:L13" si="0">$R$2*K5^5+$S$2*K5^4+$T$2*K5^3+$U$2*K5^2+$V$2*K5</f>
        <v>0</v>
      </c>
      <c r="N5" s="80" t="s">
        <v>139</v>
      </c>
      <c r="O5" t="s">
        <v>143</v>
      </c>
      <c r="Q5">
        <f t="shared" ref="Q5:Q29" si="1">B5*C5</f>
        <v>2.8866559999999999E-2</v>
      </c>
      <c r="S5">
        <f t="shared" ref="S5:S29" si="2">D5*B5</f>
        <v>2.1726720000000001E-3</v>
      </c>
    </row>
    <row r="6" spans="1:23" x14ac:dyDescent="0.35">
      <c r="A6">
        <v>3.1600000000000003E-2</v>
      </c>
      <c r="B6">
        <v>2.69E-2</v>
      </c>
      <c r="C6">
        <v>1.1249</v>
      </c>
      <c r="D6">
        <v>9.8080000000000001E-2</v>
      </c>
      <c r="E6" s="79">
        <f t="shared" ref="E6:E29" si="3">($J$3*A6)</f>
        <v>1.6082441112256871</v>
      </c>
      <c r="F6" s="79">
        <f t="shared" ref="F6:F29" si="4">SQRT($L$2^2+E6^2)</f>
        <v>4.3112004269451569</v>
      </c>
      <c r="H6">
        <f t="shared" ref="H6:H29" si="5">B6*C6*F6^2</f>
        <v>0.56242241898496603</v>
      </c>
      <c r="I6">
        <f t="shared" ref="I6:I29" si="6">B6*D6*F6^2</f>
        <v>4.9037595212059262E-2</v>
      </c>
      <c r="J6">
        <v>10</v>
      </c>
      <c r="K6" s="82">
        <f t="shared" ref="K6:K14" si="7">IF(J6="","",J6/1000)</f>
        <v>0.01</v>
      </c>
      <c r="L6" s="82">
        <f t="shared" si="0"/>
        <v>3.1321781026340399E-3</v>
      </c>
      <c r="N6" s="80"/>
      <c r="Q6">
        <f t="shared" si="1"/>
        <v>3.0259810000000002E-2</v>
      </c>
      <c r="S6">
        <f t="shared" si="2"/>
        <v>2.6383520000000001E-3</v>
      </c>
    </row>
    <row r="7" spans="1:23" x14ac:dyDescent="0.35">
      <c r="A7">
        <v>3.7499999999999999E-2</v>
      </c>
      <c r="B7">
        <v>2.8000000000000001E-2</v>
      </c>
      <c r="C7">
        <v>1.1264000000000001</v>
      </c>
      <c r="D7">
        <v>0.1018</v>
      </c>
      <c r="E7" s="79">
        <f t="shared" si="3"/>
        <v>1.9085175370557994</v>
      </c>
      <c r="F7" s="79">
        <f t="shared" si="4"/>
        <v>4.4319791503626842</v>
      </c>
      <c r="H7">
        <f t="shared" si="5"/>
        <v>0.61950681807757912</v>
      </c>
      <c r="I7">
        <f t="shared" si="6"/>
        <v>5.5988808665036888E-2</v>
      </c>
      <c r="J7">
        <v>30</v>
      </c>
      <c r="K7" s="82">
        <f t="shared" si="7"/>
        <v>0.03</v>
      </c>
      <c r="L7" s="82">
        <f t="shared" si="0"/>
        <v>1.2024239941787765E-2</v>
      </c>
      <c r="M7">
        <f>L7-L5</f>
        <v>1.2024239941787765E-2</v>
      </c>
      <c r="N7" s="80">
        <f t="shared" ref="N7:N14" si="8">$L$16*M7</f>
        <v>4.1590499053813454</v>
      </c>
      <c r="O7">
        <f>($G$3/8)*E7^2/A7</f>
        <v>0.60707319820825589</v>
      </c>
      <c r="P7">
        <v>0.6</v>
      </c>
      <c r="Q7">
        <f t="shared" si="1"/>
        <v>3.1539200000000003E-2</v>
      </c>
      <c r="S7">
        <f t="shared" si="2"/>
        <v>2.8503999999999999E-3</v>
      </c>
    </row>
    <row r="8" spans="1:23" x14ac:dyDescent="0.35">
      <c r="A8">
        <v>4.3400000000000001E-2</v>
      </c>
      <c r="B8">
        <v>2.9100000000000001E-2</v>
      </c>
      <c r="C8">
        <v>1.1319999999999999</v>
      </c>
      <c r="D8">
        <v>9.2780000000000001E-2</v>
      </c>
      <c r="E8" s="79">
        <f t="shared" si="3"/>
        <v>2.2087909628859119</v>
      </c>
      <c r="F8" s="79">
        <f t="shared" si="4"/>
        <v>4.5693279065663992</v>
      </c>
      <c r="H8">
        <f t="shared" si="5"/>
        <v>0.68777132714293121</v>
      </c>
      <c r="I8">
        <f t="shared" si="6"/>
        <v>5.6370515664594674E-2</v>
      </c>
      <c r="J8">
        <v>50</v>
      </c>
      <c r="K8" s="82">
        <f t="shared" si="7"/>
        <v>0.05</v>
      </c>
      <c r="L8" s="82">
        <f t="shared" si="0"/>
        <v>2.525256214652016E-2</v>
      </c>
      <c r="M8">
        <f t="shared" ref="M8:M14" si="9">L8-L7</f>
        <v>1.3228322204732395E-2</v>
      </c>
      <c r="N8" s="80">
        <f t="shared" si="8"/>
        <v>4.5755284725103591</v>
      </c>
      <c r="P8">
        <f>($P$14-$P$7)/7+P7</f>
        <v>0.89999999999999991</v>
      </c>
      <c r="Q8">
        <f t="shared" si="1"/>
        <v>3.2941199999999997E-2</v>
      </c>
      <c r="S8">
        <f t="shared" si="2"/>
        <v>2.6998980000000001E-3</v>
      </c>
    </row>
    <row r="9" spans="1:23" x14ac:dyDescent="0.35">
      <c r="A9">
        <v>4.9299999999999997E-2</v>
      </c>
      <c r="B9">
        <v>3.0200000000000001E-2</v>
      </c>
      <c r="C9">
        <v>1.139</v>
      </c>
      <c r="D9">
        <v>7.5499999999999998E-2</v>
      </c>
      <c r="E9" s="79">
        <f t="shared" si="3"/>
        <v>2.5090643887160242</v>
      </c>
      <c r="F9" s="79">
        <f t="shared" si="4"/>
        <v>4.7218009389133417</v>
      </c>
      <c r="H9">
        <f t="shared" si="5"/>
        <v>0.76691285138223353</v>
      </c>
      <c r="I9">
        <f t="shared" si="6"/>
        <v>5.0835750903738923E-2</v>
      </c>
      <c r="J9">
        <v>70</v>
      </c>
      <c r="K9" s="82">
        <f t="shared" si="7"/>
        <v>7.0000000000000007E-2</v>
      </c>
      <c r="L9" s="82">
        <f t="shared" si="0"/>
        <v>4.4653201995631123E-2</v>
      </c>
      <c r="M9">
        <f t="shared" si="9"/>
        <v>1.9400639849110963E-2</v>
      </c>
      <c r="N9" s="80">
        <f t="shared" si="8"/>
        <v>6.7104640059923639</v>
      </c>
      <c r="P9">
        <f t="shared" ref="P9:P13" si="10">($P$14-$P$7)/7+P8</f>
        <v>1.2</v>
      </c>
      <c r="Q9">
        <f t="shared" si="1"/>
        <v>3.4397799999999999E-2</v>
      </c>
      <c r="S9">
        <f t="shared" si="2"/>
        <v>2.2801000000000002E-3</v>
      </c>
    </row>
    <row r="10" spans="1:23" x14ac:dyDescent="0.35">
      <c r="A10">
        <v>5.5100000000000003E-2</v>
      </c>
      <c r="B10">
        <v>3.1600000000000003E-2</v>
      </c>
      <c r="C10">
        <v>1.1436999999999999</v>
      </c>
      <c r="D10">
        <v>6.2619999999999995E-2</v>
      </c>
      <c r="E10" s="79">
        <f t="shared" si="3"/>
        <v>2.8042484344473215</v>
      </c>
      <c r="F10" s="79">
        <f t="shared" si="4"/>
        <v>4.8850598033289474</v>
      </c>
      <c r="H10">
        <f t="shared" si="5"/>
        <v>0.86246002215964279</v>
      </c>
      <c r="I10">
        <f t="shared" si="6"/>
        <v>4.7221514896945732E-2</v>
      </c>
      <c r="J10">
        <v>90</v>
      </c>
      <c r="K10" s="82">
        <f t="shared" si="7"/>
        <v>0.09</v>
      </c>
      <c r="L10" s="82">
        <f t="shared" si="0"/>
        <v>7.1894624311744204E-2</v>
      </c>
      <c r="M10">
        <f t="shared" si="9"/>
        <v>2.7241422316113081E-2</v>
      </c>
      <c r="N10" s="80">
        <f t="shared" si="8"/>
        <v>9.4225028321780293</v>
      </c>
      <c r="P10">
        <f t="shared" si="10"/>
        <v>1.5</v>
      </c>
      <c r="Q10">
        <f t="shared" si="1"/>
        <v>3.614092E-2</v>
      </c>
      <c r="S10">
        <f t="shared" si="2"/>
        <v>1.9787920000000001E-3</v>
      </c>
    </row>
    <row r="11" spans="1:23" x14ac:dyDescent="0.35">
      <c r="A11">
        <v>6.0999999999999999E-2</v>
      </c>
      <c r="B11">
        <v>3.3399999999999999E-2</v>
      </c>
      <c r="C11">
        <v>1.1440999999999999</v>
      </c>
      <c r="D11">
        <v>6.2190000000000002E-2</v>
      </c>
      <c r="E11" s="79">
        <f t="shared" si="3"/>
        <v>3.1045218602774338</v>
      </c>
      <c r="F11" s="79">
        <f t="shared" si="4"/>
        <v>5.0634035964892687</v>
      </c>
      <c r="H11">
        <f t="shared" si="5"/>
        <v>0.97970549491631886</v>
      </c>
      <c r="I11">
        <f t="shared" si="6"/>
        <v>5.3253985428586559E-2</v>
      </c>
      <c r="J11">
        <v>110</v>
      </c>
      <c r="K11" s="82">
        <f t="shared" si="7"/>
        <v>0.11</v>
      </c>
      <c r="L11" s="82">
        <f t="shared" si="0"/>
        <v>0.10722879066324072</v>
      </c>
      <c r="M11">
        <f t="shared" si="9"/>
        <v>3.5334166351496513E-2</v>
      </c>
      <c r="N11" s="80">
        <f t="shared" si="8"/>
        <v>12.221692342499178</v>
      </c>
      <c r="P11">
        <f t="shared" si="10"/>
        <v>1.8</v>
      </c>
      <c r="Q11">
        <f t="shared" si="1"/>
        <v>3.8212939999999994E-2</v>
      </c>
      <c r="S11">
        <f t="shared" si="2"/>
        <v>2.0771460000000002E-3</v>
      </c>
    </row>
    <row r="12" spans="1:23" x14ac:dyDescent="0.35">
      <c r="A12">
        <v>6.6900000000000001E-2</v>
      </c>
      <c r="B12">
        <v>3.5099999999999999E-2</v>
      </c>
      <c r="C12">
        <v>1.1423000000000001</v>
      </c>
      <c r="D12">
        <v>6.8159999999999998E-2</v>
      </c>
      <c r="E12" s="79">
        <f t="shared" si="3"/>
        <v>3.4047952861075461</v>
      </c>
      <c r="F12" s="79">
        <f t="shared" si="4"/>
        <v>5.2528688295349779</v>
      </c>
      <c r="H12">
        <f t="shared" si="5"/>
        <v>1.1063190875409814</v>
      </c>
      <c r="I12">
        <f t="shared" si="6"/>
        <v>6.6013051743669171E-2</v>
      </c>
      <c r="J12">
        <v>130</v>
      </c>
      <c r="K12" s="82">
        <f t="shared" si="7"/>
        <v>0.13</v>
      </c>
      <c r="L12" s="82">
        <f t="shared" si="0"/>
        <v>0.14824224856619381</v>
      </c>
      <c r="M12">
        <f t="shared" si="9"/>
        <v>4.101345790295309E-2</v>
      </c>
      <c r="N12" s="80">
        <f t="shared" si="8"/>
        <v>14.186095673110582</v>
      </c>
      <c r="P12">
        <f t="shared" si="10"/>
        <v>2.1</v>
      </c>
      <c r="Q12">
        <f t="shared" si="1"/>
        <v>4.0094730000000002E-2</v>
      </c>
      <c r="S12">
        <f t="shared" si="2"/>
        <v>2.3924160000000001E-3</v>
      </c>
    </row>
    <row r="13" spans="1:23" x14ac:dyDescent="0.35">
      <c r="A13">
        <v>7.2800000000000004E-2</v>
      </c>
      <c r="B13">
        <v>3.6400000000000002E-2</v>
      </c>
      <c r="C13">
        <v>1.141</v>
      </c>
      <c r="D13">
        <v>7.2609999999999994E-2</v>
      </c>
      <c r="E13" s="79">
        <f t="shared" si="3"/>
        <v>3.7050687119376589</v>
      </c>
      <c r="F13" s="79">
        <f t="shared" si="4"/>
        <v>5.4522962282124201</v>
      </c>
      <c r="H13">
        <f t="shared" si="5"/>
        <v>1.2346558397542342</v>
      </c>
      <c r="I13">
        <f t="shared" si="6"/>
        <v>7.856999169549074E-2</v>
      </c>
      <c r="J13">
        <v>150</v>
      </c>
      <c r="K13" s="82">
        <f t="shared" si="7"/>
        <v>0.15</v>
      </c>
      <c r="L13" s="82">
        <f t="shared" si="0"/>
        <v>0.1886072206863027</v>
      </c>
      <c r="M13">
        <f t="shared" si="9"/>
        <v>4.0364972120108894E-2</v>
      </c>
      <c r="N13" s="80">
        <f t="shared" si="8"/>
        <v>13.961791704890009</v>
      </c>
      <c r="P13">
        <f t="shared" si="10"/>
        <v>2.4</v>
      </c>
      <c r="Q13">
        <f t="shared" si="1"/>
        <v>4.1532400000000004E-2</v>
      </c>
      <c r="S13">
        <f t="shared" si="2"/>
        <v>2.643004E-3</v>
      </c>
    </row>
    <row r="14" spans="1:23" x14ac:dyDescent="0.35">
      <c r="A14">
        <v>7.8700000000000006E-2</v>
      </c>
      <c r="B14">
        <v>3.7100000000000001E-2</v>
      </c>
      <c r="C14">
        <v>1.1408</v>
      </c>
      <c r="D14">
        <v>7.331E-2</v>
      </c>
      <c r="E14" s="79">
        <f t="shared" si="3"/>
        <v>4.0053421377677711</v>
      </c>
      <c r="F14" s="79">
        <f t="shared" si="4"/>
        <v>5.6606329717248141</v>
      </c>
      <c r="H14">
        <f t="shared" si="5"/>
        <v>1.3561677592868224</v>
      </c>
      <c r="I14">
        <f t="shared" si="6"/>
        <v>8.7149946032009942E-2</v>
      </c>
      <c r="J14">
        <v>170</v>
      </c>
      <c r="K14" s="82">
        <f t="shared" si="7"/>
        <v>0.17</v>
      </c>
      <c r="L14" s="82">
        <f>$R$2*K14^5+$S$2*K14^4+$T$2*K14^3+$U$2*K14^2+$V$2*K14</f>
        <v>0.21683269404082667</v>
      </c>
      <c r="M14">
        <f t="shared" si="9"/>
        <v>2.8225473354523967E-2</v>
      </c>
      <c r="N14" s="80">
        <f t="shared" si="8"/>
        <v>9.7628750634381358</v>
      </c>
      <c r="O14">
        <f>($G$3/8)*E29^2/A29</f>
        <v>2.7051181712159877</v>
      </c>
      <c r="P14">
        <v>2.7</v>
      </c>
      <c r="Q14">
        <f t="shared" si="1"/>
        <v>4.2323680000000002E-2</v>
      </c>
      <c r="S14">
        <f t="shared" si="2"/>
        <v>2.719801E-3</v>
      </c>
    </row>
    <row r="15" spans="1:23" x14ac:dyDescent="0.35">
      <c r="A15">
        <v>8.4599999999999995E-2</v>
      </c>
      <c r="B15">
        <v>3.7499999999999999E-2</v>
      </c>
      <c r="C15">
        <v>1.1411</v>
      </c>
      <c r="D15">
        <v>7.2459999999999997E-2</v>
      </c>
      <c r="E15" s="79">
        <f t="shared" si="3"/>
        <v>4.3056155635978834</v>
      </c>
      <c r="F15" s="79">
        <f t="shared" si="4"/>
        <v>5.8769316298129857</v>
      </c>
      <c r="H15">
        <f t="shared" si="5"/>
        <v>1.4779381159809539</v>
      </c>
      <c r="I15">
        <f t="shared" si="6"/>
        <v>9.3849264642870842E-2</v>
      </c>
      <c r="K15" s="82"/>
      <c r="L15" s="74"/>
      <c r="Q15">
        <f t="shared" si="1"/>
        <v>4.2791249999999996E-2</v>
      </c>
      <c r="S15">
        <f t="shared" si="2"/>
        <v>2.7172499999999996E-3</v>
      </c>
    </row>
    <row r="16" spans="1:23" x14ac:dyDescent="0.35">
      <c r="A16">
        <v>9.0499999999999997E-2</v>
      </c>
      <c r="B16">
        <v>3.7600000000000001E-2</v>
      </c>
      <c r="C16">
        <v>1.1412</v>
      </c>
      <c r="D16">
        <v>7.1970000000000006E-2</v>
      </c>
      <c r="E16" s="79">
        <f t="shared" si="3"/>
        <v>4.6058889894279957</v>
      </c>
      <c r="F16" s="79">
        <f t="shared" si="4"/>
        <v>6.1003453494809659</v>
      </c>
      <c r="H16">
        <f t="shared" si="5"/>
        <v>1.5968291477539232</v>
      </c>
      <c r="I16">
        <f t="shared" si="6"/>
        <v>0.10070434083758312</v>
      </c>
      <c r="K16" s="82" t="s">
        <v>140</v>
      </c>
      <c r="L16" s="74">
        <f>L3/L14</f>
        <v>345.88879842021663</v>
      </c>
      <c r="Q16">
        <f t="shared" si="1"/>
        <v>4.2909120000000002E-2</v>
      </c>
      <c r="S16">
        <f t="shared" si="2"/>
        <v>2.7060720000000003E-3</v>
      </c>
    </row>
    <row r="17" spans="1:19" x14ac:dyDescent="0.35">
      <c r="A17">
        <v>9.64E-2</v>
      </c>
      <c r="B17">
        <v>3.73E-2</v>
      </c>
      <c r="C17">
        <v>1.1412</v>
      </c>
      <c r="D17">
        <v>7.1830000000000005E-2</v>
      </c>
      <c r="E17" s="79">
        <f t="shared" si="3"/>
        <v>4.906162415258108</v>
      </c>
      <c r="F17" s="79">
        <f t="shared" si="4"/>
        <v>6.3301208238777935</v>
      </c>
      <c r="H17">
        <f t="shared" si="5"/>
        <v>1.7056683617909723</v>
      </c>
      <c r="I17">
        <f t="shared" si="6"/>
        <v>0.10735905925994177</v>
      </c>
      <c r="K17" s="82"/>
      <c r="L17" s="74"/>
      <c r="Q17">
        <f t="shared" si="1"/>
        <v>4.2566760000000002E-2</v>
      </c>
      <c r="S17">
        <f t="shared" si="2"/>
        <v>2.6792590000000002E-3</v>
      </c>
    </row>
    <row r="18" spans="1:19" x14ac:dyDescent="0.35">
      <c r="A18">
        <v>0.1023</v>
      </c>
      <c r="B18">
        <v>3.6799999999999999E-2</v>
      </c>
      <c r="C18">
        <v>1.1412</v>
      </c>
      <c r="D18">
        <v>7.1499999999999994E-2</v>
      </c>
      <c r="E18" s="79">
        <f t="shared" si="3"/>
        <v>5.2064358410882212</v>
      </c>
      <c r="F18" s="79">
        <f t="shared" si="4"/>
        <v>6.565590161392044</v>
      </c>
      <c r="H18">
        <f t="shared" si="5"/>
        <v>1.8103273842486536</v>
      </c>
      <c r="I18">
        <f t="shared" si="6"/>
        <v>0.11342307042917869</v>
      </c>
      <c r="K18" s="82"/>
      <c r="L18" s="74"/>
      <c r="Q18">
        <f t="shared" si="1"/>
        <v>4.1996159999999998E-2</v>
      </c>
      <c r="S18">
        <f t="shared" si="2"/>
        <v>2.6311999999999998E-3</v>
      </c>
    </row>
    <row r="19" spans="1:19" x14ac:dyDescent="0.35">
      <c r="A19">
        <v>0.1082</v>
      </c>
      <c r="B19">
        <v>3.5999999999999997E-2</v>
      </c>
      <c r="C19">
        <v>1.1413</v>
      </c>
      <c r="D19">
        <v>7.0720000000000005E-2</v>
      </c>
      <c r="E19" s="79">
        <f t="shared" si="3"/>
        <v>5.5067092669183335</v>
      </c>
      <c r="F19" s="79">
        <f t="shared" si="4"/>
        <v>6.806162424624044</v>
      </c>
      <c r="H19">
        <f t="shared" si="5"/>
        <v>1.9032986348802252</v>
      </c>
      <c r="I19">
        <f t="shared" si="6"/>
        <v>0.11793680842787134</v>
      </c>
      <c r="K19" s="82"/>
      <c r="L19" s="74"/>
      <c r="Q19">
        <f t="shared" si="1"/>
        <v>4.1086799999999993E-2</v>
      </c>
      <c r="S19">
        <f t="shared" si="2"/>
        <v>2.5459200000000001E-3</v>
      </c>
    </row>
    <row r="20" spans="1:19" x14ac:dyDescent="0.35">
      <c r="A20">
        <v>0.114</v>
      </c>
      <c r="B20">
        <v>3.49E-2</v>
      </c>
      <c r="C20">
        <v>1.1415</v>
      </c>
      <c r="D20">
        <v>6.9699999999999998E-2</v>
      </c>
      <c r="E20" s="79">
        <f t="shared" si="3"/>
        <v>5.8018933126496304</v>
      </c>
      <c r="F20" s="79">
        <f t="shared" si="4"/>
        <v>7.0471246626811208</v>
      </c>
      <c r="H20">
        <f t="shared" si="5"/>
        <v>1.9784507836490024</v>
      </c>
      <c r="I20">
        <f t="shared" si="6"/>
        <v>0.12080422218163421</v>
      </c>
      <c r="K20" s="82">
        <f>60/35.4</f>
        <v>1.6949152542372883</v>
      </c>
      <c r="L20" s="74"/>
      <c r="Q20">
        <f t="shared" si="1"/>
        <v>3.9838350000000002E-2</v>
      </c>
      <c r="S20">
        <f t="shared" si="2"/>
        <v>2.43253E-3</v>
      </c>
    </row>
    <row r="21" spans="1:19" x14ac:dyDescent="0.35">
      <c r="A21">
        <v>0.11990000000000001</v>
      </c>
      <c r="B21">
        <v>3.3500000000000002E-2</v>
      </c>
      <c r="C21">
        <v>1.1417999999999999</v>
      </c>
      <c r="D21">
        <v>6.862E-2</v>
      </c>
      <c r="E21" s="79">
        <f t="shared" si="3"/>
        <v>6.1021667384797436</v>
      </c>
      <c r="F21" s="79">
        <f t="shared" si="4"/>
        <v>7.2963305095238464</v>
      </c>
      <c r="H21">
        <f t="shared" si="5"/>
        <v>2.0363097590176471</v>
      </c>
      <c r="I21">
        <f t="shared" si="6"/>
        <v>0.12237832865982742</v>
      </c>
      <c r="K21" s="82"/>
      <c r="L21" s="74"/>
      <c r="Q21">
        <f t="shared" si="1"/>
        <v>3.8250300000000001E-2</v>
      </c>
      <c r="S21">
        <f t="shared" si="2"/>
        <v>2.2987700000000003E-3</v>
      </c>
    </row>
    <row r="22" spans="1:19" x14ac:dyDescent="0.35">
      <c r="A22">
        <v>0.1258</v>
      </c>
      <c r="B22">
        <v>3.1899999999999998E-2</v>
      </c>
      <c r="C22">
        <v>1.1419999999999999</v>
      </c>
      <c r="D22">
        <v>6.7549999999999999E-2</v>
      </c>
      <c r="E22" s="79">
        <f t="shared" si="3"/>
        <v>6.402440164309855</v>
      </c>
      <c r="F22" s="79">
        <f t="shared" si="4"/>
        <v>7.5492542716196809</v>
      </c>
      <c r="H22">
        <f t="shared" si="5"/>
        <v>2.0761794770491901</v>
      </c>
      <c r="I22">
        <f t="shared" si="6"/>
        <v>0.1228072886818501</v>
      </c>
      <c r="K22" s="82"/>
      <c r="L22" s="74"/>
      <c r="Q22">
        <f t="shared" si="1"/>
        <v>3.6429799999999991E-2</v>
      </c>
      <c r="S22">
        <f t="shared" si="2"/>
        <v>2.1548449999999999E-3</v>
      </c>
    </row>
    <row r="23" spans="1:19" x14ac:dyDescent="0.35">
      <c r="A23">
        <v>0.13170000000000001</v>
      </c>
      <c r="B23">
        <v>0.03</v>
      </c>
      <c r="C23">
        <v>1.1422000000000001</v>
      </c>
      <c r="D23">
        <v>6.6449999999999995E-2</v>
      </c>
      <c r="E23" s="79">
        <f t="shared" si="3"/>
        <v>6.7027135901399681</v>
      </c>
      <c r="F23" s="79">
        <f t="shared" si="4"/>
        <v>7.8055345410450281</v>
      </c>
      <c r="H23">
        <f t="shared" si="5"/>
        <v>2.0877029763086039</v>
      </c>
      <c r="I23">
        <f t="shared" si="6"/>
        <v>0.12145671754132961</v>
      </c>
      <c r="K23" s="82"/>
      <c r="L23" s="74"/>
      <c r="Q23">
        <f t="shared" si="1"/>
        <v>3.4266000000000005E-2</v>
      </c>
      <c r="S23">
        <f t="shared" si="2"/>
        <v>1.9934999999999996E-3</v>
      </c>
    </row>
    <row r="24" spans="1:19" x14ac:dyDescent="0.35">
      <c r="A24">
        <v>0.1376</v>
      </c>
      <c r="B24">
        <v>2.7900000000000001E-2</v>
      </c>
      <c r="C24">
        <v>1.1425000000000001</v>
      </c>
      <c r="D24">
        <v>6.5310000000000007E-2</v>
      </c>
      <c r="E24" s="79">
        <f t="shared" si="3"/>
        <v>7.0029870159700804</v>
      </c>
      <c r="F24" s="79">
        <f t="shared" si="4"/>
        <v>8.0648513405918116</v>
      </c>
      <c r="H24">
        <f t="shared" si="5"/>
        <v>2.0732570216441863</v>
      </c>
      <c r="I24">
        <f t="shared" si="6"/>
        <v>0.11851590029197534</v>
      </c>
      <c r="K24" s="74" t="str">
        <f t="shared" ref="K24:K69" si="11">IF(J24="","",J24*1000)</f>
        <v/>
      </c>
      <c r="L24" s="74" t="str">
        <f t="shared" ref="L24:L29" si="12">IF(K24="","",$R$1*K24^4+$S$1*K24^3+$T$1*K24^2+$U$1*K24+$V$1)</f>
        <v/>
      </c>
      <c r="Q24">
        <f t="shared" si="1"/>
        <v>3.1875750000000001E-2</v>
      </c>
      <c r="S24">
        <f t="shared" si="2"/>
        <v>1.8221490000000003E-3</v>
      </c>
    </row>
    <row r="25" spans="1:19" x14ac:dyDescent="0.35">
      <c r="A25">
        <v>0.14349999999999999</v>
      </c>
      <c r="B25">
        <v>2.5399999999999999E-2</v>
      </c>
      <c r="C25">
        <v>1.1428</v>
      </c>
      <c r="D25">
        <v>6.4299999999999996E-2</v>
      </c>
      <c r="E25" s="79">
        <f t="shared" si="3"/>
        <v>7.3032604418001918</v>
      </c>
      <c r="F25" s="79">
        <f t="shared" si="4"/>
        <v>8.3269209844193632</v>
      </c>
      <c r="H25">
        <f t="shared" si="5"/>
        <v>2.0126712154088926</v>
      </c>
      <c r="I25">
        <f t="shared" si="6"/>
        <v>0.1132435764357646</v>
      </c>
      <c r="K25" s="74" t="str">
        <f t="shared" si="11"/>
        <v/>
      </c>
      <c r="L25" s="74" t="str">
        <f t="shared" si="12"/>
        <v/>
      </c>
      <c r="Q25">
        <f t="shared" si="1"/>
        <v>2.902712E-2</v>
      </c>
      <c r="S25">
        <f t="shared" si="2"/>
        <v>1.6332199999999999E-3</v>
      </c>
    </row>
    <row r="26" spans="1:19" x14ac:dyDescent="0.35">
      <c r="A26">
        <v>0.14940000000000001</v>
      </c>
      <c r="B26">
        <v>2.23E-2</v>
      </c>
      <c r="C26">
        <v>1.143</v>
      </c>
      <c r="D26">
        <v>6.3640000000000002E-2</v>
      </c>
      <c r="E26" s="79">
        <f t="shared" si="3"/>
        <v>7.603533867630305</v>
      </c>
      <c r="F26" s="79">
        <f t="shared" si="4"/>
        <v>8.5914915629476738</v>
      </c>
      <c r="H26">
        <f t="shared" si="5"/>
        <v>1.8814307131703614</v>
      </c>
      <c r="I26">
        <f t="shared" si="6"/>
        <v>0.10475437496602082</v>
      </c>
      <c r="K26" s="74" t="str">
        <f t="shared" si="11"/>
        <v/>
      </c>
      <c r="L26" s="74" t="str">
        <f t="shared" si="12"/>
        <v/>
      </c>
      <c r="Q26">
        <f t="shared" si="1"/>
        <v>2.5488900000000002E-2</v>
      </c>
      <c r="S26">
        <f t="shared" si="2"/>
        <v>1.419172E-3</v>
      </c>
    </row>
    <row r="27" spans="1:19" x14ac:dyDescent="0.35">
      <c r="A27">
        <v>0.15529999999999999</v>
      </c>
      <c r="B27">
        <v>1.8700000000000001E-2</v>
      </c>
      <c r="C27">
        <v>1.1432</v>
      </c>
      <c r="D27">
        <v>6.3390000000000002E-2</v>
      </c>
      <c r="E27" s="79">
        <f t="shared" si="3"/>
        <v>7.9038072934604173</v>
      </c>
      <c r="F27" s="79">
        <f t="shared" si="4"/>
        <v>8.8583389939738755</v>
      </c>
      <c r="H27">
        <f t="shared" si="5"/>
        <v>1.6775227333069189</v>
      </c>
      <c r="I27">
        <f t="shared" si="6"/>
        <v>9.3017989909312093E-2</v>
      </c>
      <c r="K27" s="74" t="str">
        <f t="shared" si="11"/>
        <v/>
      </c>
      <c r="L27" s="74" t="str">
        <f t="shared" si="12"/>
        <v/>
      </c>
      <c r="Q27">
        <f t="shared" si="1"/>
        <v>2.1377840000000002E-2</v>
      </c>
      <c r="S27">
        <f t="shared" si="2"/>
        <v>1.1853930000000001E-3</v>
      </c>
    </row>
    <row r="28" spans="1:19" x14ac:dyDescent="0.35">
      <c r="A28">
        <v>0.16120000000000001</v>
      </c>
      <c r="B28">
        <v>1.46E-2</v>
      </c>
      <c r="C28">
        <v>1.1434</v>
      </c>
      <c r="D28">
        <v>6.3140000000000002E-2</v>
      </c>
      <c r="E28" s="79">
        <f t="shared" si="3"/>
        <v>8.2040807192905305</v>
      </c>
      <c r="F28" s="79">
        <f t="shared" si="4"/>
        <v>9.1272635794434382</v>
      </c>
      <c r="H28">
        <f t="shared" si="5"/>
        <v>1.3906960733509452</v>
      </c>
      <c r="I28">
        <f t="shared" si="6"/>
        <v>7.6796003210931163E-2</v>
      </c>
      <c r="K28" s="74" t="str">
        <f t="shared" si="11"/>
        <v/>
      </c>
      <c r="L28" s="74" t="str">
        <f t="shared" si="12"/>
        <v/>
      </c>
      <c r="Q28">
        <f t="shared" si="1"/>
        <v>1.6693639999999999E-2</v>
      </c>
      <c r="S28">
        <f t="shared" si="2"/>
        <v>9.2184400000000001E-4</v>
      </c>
    </row>
    <row r="29" spans="1:19" x14ac:dyDescent="0.35">
      <c r="A29">
        <v>0.1671</v>
      </c>
      <c r="B29">
        <v>0.01</v>
      </c>
      <c r="C29">
        <v>1.1448</v>
      </c>
      <c r="D29">
        <v>5.824E-2</v>
      </c>
      <c r="E29" s="79">
        <f t="shared" si="3"/>
        <v>8.5043541451206419</v>
      </c>
      <c r="F29" s="79">
        <f t="shared" si="4"/>
        <v>9.3980870088348638</v>
      </c>
      <c r="H29">
        <f t="shared" si="5"/>
        <v>1.0111336033446197</v>
      </c>
      <c r="I29">
        <f t="shared" si="6"/>
        <v>5.1439920561487294E-2</v>
      </c>
      <c r="K29" s="74" t="str">
        <f t="shared" si="11"/>
        <v/>
      </c>
      <c r="L29" s="74" t="str">
        <f t="shared" si="12"/>
        <v/>
      </c>
      <c r="Q29">
        <f t="shared" si="1"/>
        <v>1.1448E-2</v>
      </c>
      <c r="S29">
        <f t="shared" si="2"/>
        <v>5.8240000000000006E-4</v>
      </c>
    </row>
    <row r="30" spans="1:19" x14ac:dyDescent="0.35">
      <c r="K30" s="74" t="str">
        <f t="shared" si="11"/>
        <v/>
      </c>
    </row>
    <row r="31" spans="1:19" x14ac:dyDescent="0.35">
      <c r="K31" s="74" t="str">
        <f t="shared" si="11"/>
        <v/>
      </c>
    </row>
    <row r="32" spans="1:19" x14ac:dyDescent="0.35">
      <c r="K32" s="74" t="str">
        <f t="shared" si="11"/>
        <v/>
      </c>
    </row>
    <row r="33" spans="11:11" x14ac:dyDescent="0.35">
      <c r="K33" s="74" t="str">
        <f t="shared" si="11"/>
        <v/>
      </c>
    </row>
    <row r="34" spans="11:11" x14ac:dyDescent="0.35">
      <c r="K34" s="74" t="str">
        <f t="shared" si="11"/>
        <v/>
      </c>
    </row>
    <row r="35" spans="11:11" x14ac:dyDescent="0.35">
      <c r="K35" s="74" t="str">
        <f t="shared" si="11"/>
        <v/>
      </c>
    </row>
    <row r="36" spans="11:11" x14ac:dyDescent="0.35">
      <c r="K36" s="74" t="str">
        <f t="shared" si="11"/>
        <v/>
      </c>
    </row>
    <row r="37" spans="11:11" x14ac:dyDescent="0.35">
      <c r="K37" s="74" t="str">
        <f t="shared" si="11"/>
        <v/>
      </c>
    </row>
    <row r="38" spans="11:11" x14ac:dyDescent="0.35">
      <c r="K38" s="74" t="str">
        <f t="shared" si="11"/>
        <v/>
      </c>
    </row>
    <row r="39" spans="11:11" x14ac:dyDescent="0.35">
      <c r="K39" s="74" t="str">
        <f t="shared" si="11"/>
        <v/>
      </c>
    </row>
    <row r="40" spans="11:11" x14ac:dyDescent="0.35">
      <c r="K40" s="74" t="str">
        <f t="shared" si="11"/>
        <v/>
      </c>
    </row>
    <row r="41" spans="11:11" x14ac:dyDescent="0.35">
      <c r="K41" s="74" t="str">
        <f t="shared" si="11"/>
        <v/>
      </c>
    </row>
    <row r="42" spans="11:11" x14ac:dyDescent="0.35">
      <c r="K42" s="74" t="str">
        <f t="shared" si="11"/>
        <v/>
      </c>
    </row>
    <row r="43" spans="11:11" x14ac:dyDescent="0.35">
      <c r="K43" s="74" t="str">
        <f t="shared" si="11"/>
        <v/>
      </c>
    </row>
    <row r="44" spans="11:11" x14ac:dyDescent="0.35">
      <c r="K44" s="74" t="str">
        <f t="shared" si="11"/>
        <v/>
      </c>
    </row>
    <row r="45" spans="11:11" x14ac:dyDescent="0.35">
      <c r="K45" s="74" t="str">
        <f t="shared" si="11"/>
        <v/>
      </c>
    </row>
    <row r="46" spans="11:11" x14ac:dyDescent="0.35">
      <c r="K46" s="74" t="str">
        <f t="shared" si="11"/>
        <v/>
      </c>
    </row>
    <row r="47" spans="11:11" x14ac:dyDescent="0.35">
      <c r="K47" s="74" t="str">
        <f t="shared" si="11"/>
        <v/>
      </c>
    </row>
    <row r="48" spans="11:11" x14ac:dyDescent="0.35">
      <c r="K48" s="74" t="str">
        <f t="shared" si="11"/>
        <v/>
      </c>
    </row>
    <row r="49" spans="11:11" x14ac:dyDescent="0.35">
      <c r="K49" s="74" t="str">
        <f t="shared" si="11"/>
        <v/>
      </c>
    </row>
    <row r="50" spans="11:11" x14ac:dyDescent="0.35">
      <c r="K50" s="74" t="str">
        <f t="shared" si="11"/>
        <v/>
      </c>
    </row>
    <row r="51" spans="11:11" x14ac:dyDescent="0.35">
      <c r="K51" s="74" t="str">
        <f t="shared" si="11"/>
        <v/>
      </c>
    </row>
    <row r="52" spans="11:11" x14ac:dyDescent="0.35">
      <c r="K52" s="74" t="str">
        <f t="shared" si="11"/>
        <v/>
      </c>
    </row>
    <row r="53" spans="11:11" x14ac:dyDescent="0.35">
      <c r="K53" s="74" t="str">
        <f t="shared" si="11"/>
        <v/>
      </c>
    </row>
    <row r="54" spans="11:11" x14ac:dyDescent="0.35">
      <c r="K54" s="74" t="str">
        <f t="shared" si="11"/>
        <v/>
      </c>
    </row>
    <row r="55" spans="11:11" x14ac:dyDescent="0.35">
      <c r="K55" s="74" t="str">
        <f t="shared" si="11"/>
        <v/>
      </c>
    </row>
    <row r="56" spans="11:11" x14ac:dyDescent="0.35">
      <c r="K56" s="74" t="str">
        <f t="shared" si="11"/>
        <v/>
      </c>
    </row>
    <row r="57" spans="11:11" x14ac:dyDescent="0.35">
      <c r="K57" s="74" t="str">
        <f t="shared" si="11"/>
        <v/>
      </c>
    </row>
    <row r="58" spans="11:11" x14ac:dyDescent="0.35">
      <c r="K58" s="74" t="str">
        <f t="shared" si="11"/>
        <v/>
      </c>
    </row>
    <row r="59" spans="11:11" x14ac:dyDescent="0.35">
      <c r="K59" s="74" t="str">
        <f t="shared" si="11"/>
        <v/>
      </c>
    </row>
    <row r="60" spans="11:11" x14ac:dyDescent="0.35">
      <c r="K60" s="74" t="str">
        <f t="shared" si="11"/>
        <v/>
      </c>
    </row>
    <row r="61" spans="11:11" x14ac:dyDescent="0.35">
      <c r="K61" s="74" t="str">
        <f t="shared" si="11"/>
        <v/>
      </c>
    </row>
    <row r="62" spans="11:11" x14ac:dyDescent="0.35">
      <c r="K62" s="74" t="str">
        <f t="shared" si="11"/>
        <v/>
      </c>
    </row>
    <row r="63" spans="11:11" x14ac:dyDescent="0.35">
      <c r="K63" s="74" t="str">
        <f t="shared" si="11"/>
        <v/>
      </c>
    </row>
    <row r="64" spans="11:11" x14ac:dyDescent="0.35">
      <c r="K64" s="74" t="str">
        <f t="shared" si="11"/>
        <v/>
      </c>
    </row>
    <row r="65" spans="11:11" x14ac:dyDescent="0.35">
      <c r="K65" s="74" t="str">
        <f t="shared" si="11"/>
        <v/>
      </c>
    </row>
    <row r="66" spans="11:11" x14ac:dyDescent="0.35">
      <c r="K66" s="74" t="str">
        <f t="shared" si="11"/>
        <v/>
      </c>
    </row>
    <row r="67" spans="11:11" x14ac:dyDescent="0.35">
      <c r="K67" s="74" t="str">
        <f t="shared" si="11"/>
        <v/>
      </c>
    </row>
    <row r="68" spans="11:11" x14ac:dyDescent="0.35">
      <c r="K68" s="74" t="str">
        <f t="shared" si="11"/>
        <v/>
      </c>
    </row>
    <row r="69" spans="11:11" x14ac:dyDescent="0.35">
      <c r="K69" s="74" t="str">
        <f t="shared" si="11"/>
        <v/>
      </c>
    </row>
    <row r="70" spans="11:11" x14ac:dyDescent="0.35">
      <c r="K70" s="74" t="str">
        <f t="shared" ref="K70:K133" si="13">IF(J70="","",J70*1000)</f>
        <v/>
      </c>
    </row>
    <row r="71" spans="11:11" x14ac:dyDescent="0.35">
      <c r="K71" s="74" t="str">
        <f t="shared" si="13"/>
        <v/>
      </c>
    </row>
    <row r="72" spans="11:11" x14ac:dyDescent="0.35">
      <c r="K72" s="74" t="str">
        <f t="shared" si="13"/>
        <v/>
      </c>
    </row>
    <row r="73" spans="11:11" x14ac:dyDescent="0.35">
      <c r="K73" s="74" t="str">
        <f t="shared" si="13"/>
        <v/>
      </c>
    </row>
    <row r="74" spans="11:11" x14ac:dyDescent="0.35">
      <c r="K74" s="74" t="str">
        <f t="shared" si="13"/>
        <v/>
      </c>
    </row>
    <row r="75" spans="11:11" x14ac:dyDescent="0.35">
      <c r="K75" s="74" t="str">
        <f t="shared" si="13"/>
        <v/>
      </c>
    </row>
    <row r="76" spans="11:11" x14ac:dyDescent="0.35">
      <c r="K76" s="74" t="str">
        <f t="shared" si="13"/>
        <v/>
      </c>
    </row>
    <row r="77" spans="11:11" x14ac:dyDescent="0.35">
      <c r="K77" s="74" t="str">
        <f t="shared" si="13"/>
        <v/>
      </c>
    </row>
    <row r="78" spans="11:11" x14ac:dyDescent="0.35">
      <c r="K78" s="74" t="str">
        <f t="shared" si="13"/>
        <v/>
      </c>
    </row>
    <row r="79" spans="11:11" x14ac:dyDescent="0.35">
      <c r="K79" s="74" t="str">
        <f t="shared" si="13"/>
        <v/>
      </c>
    </row>
    <row r="80" spans="11:11" x14ac:dyDescent="0.35">
      <c r="K80" s="74" t="str">
        <f t="shared" si="13"/>
        <v/>
      </c>
    </row>
    <row r="81" spans="11:11" x14ac:dyDescent="0.35">
      <c r="K81" s="74" t="str">
        <f t="shared" si="13"/>
        <v/>
      </c>
    </row>
    <row r="82" spans="11:11" x14ac:dyDescent="0.35">
      <c r="K82" s="74" t="str">
        <f t="shared" si="13"/>
        <v/>
      </c>
    </row>
    <row r="83" spans="11:11" x14ac:dyDescent="0.35">
      <c r="K83" s="74" t="str">
        <f t="shared" si="13"/>
        <v/>
      </c>
    </row>
    <row r="84" spans="11:11" x14ac:dyDescent="0.35">
      <c r="K84" s="74" t="str">
        <f t="shared" si="13"/>
        <v/>
      </c>
    </row>
    <row r="85" spans="11:11" x14ac:dyDescent="0.35">
      <c r="K85" s="74" t="str">
        <f t="shared" si="13"/>
        <v/>
      </c>
    </row>
    <row r="86" spans="11:11" x14ac:dyDescent="0.35">
      <c r="K86" s="74" t="str">
        <f t="shared" si="13"/>
        <v/>
      </c>
    </row>
    <row r="87" spans="11:11" x14ac:dyDescent="0.35">
      <c r="K87" s="74" t="str">
        <f t="shared" si="13"/>
        <v/>
      </c>
    </row>
    <row r="88" spans="11:11" x14ac:dyDescent="0.35">
      <c r="K88" s="74" t="str">
        <f t="shared" si="13"/>
        <v/>
      </c>
    </row>
    <row r="89" spans="11:11" x14ac:dyDescent="0.35">
      <c r="K89" s="74" t="str">
        <f t="shared" si="13"/>
        <v/>
      </c>
    </row>
    <row r="90" spans="11:11" x14ac:dyDescent="0.35">
      <c r="K90" s="74" t="str">
        <f t="shared" si="13"/>
        <v/>
      </c>
    </row>
    <row r="91" spans="11:11" x14ac:dyDescent="0.35">
      <c r="K91" s="74" t="str">
        <f t="shared" si="13"/>
        <v/>
      </c>
    </row>
    <row r="92" spans="11:11" x14ac:dyDescent="0.35">
      <c r="K92" s="74" t="str">
        <f t="shared" si="13"/>
        <v/>
      </c>
    </row>
    <row r="93" spans="11:11" x14ac:dyDescent="0.35">
      <c r="K93" s="74" t="str">
        <f t="shared" si="13"/>
        <v/>
      </c>
    </row>
    <row r="94" spans="11:11" x14ac:dyDescent="0.35">
      <c r="K94" s="74" t="str">
        <f t="shared" si="13"/>
        <v/>
      </c>
    </row>
    <row r="95" spans="11:11" x14ac:dyDescent="0.35">
      <c r="K95" s="74" t="str">
        <f t="shared" si="13"/>
        <v/>
      </c>
    </row>
    <row r="96" spans="11:11" x14ac:dyDescent="0.35">
      <c r="K96" s="74" t="str">
        <f t="shared" si="13"/>
        <v/>
      </c>
    </row>
    <row r="97" spans="11:11" x14ac:dyDescent="0.35">
      <c r="K97" s="74" t="str">
        <f t="shared" si="13"/>
        <v/>
      </c>
    </row>
    <row r="98" spans="11:11" x14ac:dyDescent="0.35">
      <c r="K98" s="74" t="str">
        <f t="shared" si="13"/>
        <v/>
      </c>
    </row>
    <row r="99" spans="11:11" x14ac:dyDescent="0.35">
      <c r="K99" s="74" t="str">
        <f t="shared" si="13"/>
        <v/>
      </c>
    </row>
    <row r="100" spans="11:11" x14ac:dyDescent="0.35">
      <c r="K100" s="74" t="str">
        <f t="shared" si="13"/>
        <v/>
      </c>
    </row>
    <row r="101" spans="11:11" x14ac:dyDescent="0.35">
      <c r="K101" s="74" t="str">
        <f t="shared" si="13"/>
        <v/>
      </c>
    </row>
    <row r="102" spans="11:11" x14ac:dyDescent="0.35">
      <c r="K102" s="74" t="str">
        <f t="shared" si="13"/>
        <v/>
      </c>
    </row>
    <row r="103" spans="11:11" x14ac:dyDescent="0.35">
      <c r="K103" s="74" t="str">
        <f t="shared" si="13"/>
        <v/>
      </c>
    </row>
    <row r="104" spans="11:11" x14ac:dyDescent="0.35">
      <c r="K104" s="74" t="str">
        <f t="shared" si="13"/>
        <v/>
      </c>
    </row>
    <row r="105" spans="11:11" x14ac:dyDescent="0.35">
      <c r="K105" s="74" t="str">
        <f t="shared" si="13"/>
        <v/>
      </c>
    </row>
    <row r="106" spans="11:11" x14ac:dyDescent="0.35">
      <c r="K106" s="74" t="str">
        <f t="shared" si="13"/>
        <v/>
      </c>
    </row>
    <row r="107" spans="11:11" x14ac:dyDescent="0.35">
      <c r="K107" s="74" t="str">
        <f t="shared" si="13"/>
        <v/>
      </c>
    </row>
    <row r="108" spans="11:11" x14ac:dyDescent="0.35">
      <c r="K108" s="74" t="str">
        <f t="shared" si="13"/>
        <v/>
      </c>
    </row>
    <row r="109" spans="11:11" x14ac:dyDescent="0.35">
      <c r="K109" s="74" t="str">
        <f t="shared" si="13"/>
        <v/>
      </c>
    </row>
    <row r="110" spans="11:11" x14ac:dyDescent="0.35">
      <c r="K110" s="74" t="str">
        <f t="shared" si="13"/>
        <v/>
      </c>
    </row>
    <row r="111" spans="11:11" x14ac:dyDescent="0.35">
      <c r="K111" s="74" t="str">
        <f t="shared" si="13"/>
        <v/>
      </c>
    </row>
    <row r="112" spans="11:11" x14ac:dyDescent="0.35">
      <c r="K112" s="74" t="str">
        <f t="shared" si="13"/>
        <v/>
      </c>
    </row>
    <row r="113" spans="11:11" x14ac:dyDescent="0.35">
      <c r="K113" s="74" t="str">
        <f t="shared" si="13"/>
        <v/>
      </c>
    </row>
    <row r="114" spans="11:11" x14ac:dyDescent="0.35">
      <c r="K114" s="74" t="str">
        <f t="shared" si="13"/>
        <v/>
      </c>
    </row>
    <row r="115" spans="11:11" x14ac:dyDescent="0.35">
      <c r="K115" s="74" t="str">
        <f t="shared" si="13"/>
        <v/>
      </c>
    </row>
    <row r="116" spans="11:11" x14ac:dyDescent="0.35">
      <c r="K116" s="74" t="str">
        <f t="shared" si="13"/>
        <v/>
      </c>
    </row>
    <row r="117" spans="11:11" x14ac:dyDescent="0.35">
      <c r="K117" s="74" t="str">
        <f t="shared" si="13"/>
        <v/>
      </c>
    </row>
    <row r="118" spans="11:11" x14ac:dyDescent="0.35">
      <c r="K118" s="74" t="str">
        <f t="shared" si="13"/>
        <v/>
      </c>
    </row>
    <row r="119" spans="11:11" x14ac:dyDescent="0.35">
      <c r="K119" s="74" t="str">
        <f t="shared" si="13"/>
        <v/>
      </c>
    </row>
    <row r="120" spans="11:11" x14ac:dyDescent="0.35">
      <c r="K120" s="74" t="str">
        <f t="shared" si="13"/>
        <v/>
      </c>
    </row>
    <row r="121" spans="11:11" x14ac:dyDescent="0.35">
      <c r="K121" s="74" t="str">
        <f t="shared" si="13"/>
        <v/>
      </c>
    </row>
    <row r="122" spans="11:11" x14ac:dyDescent="0.35">
      <c r="K122" s="74" t="str">
        <f t="shared" si="13"/>
        <v/>
      </c>
    </row>
    <row r="123" spans="11:11" x14ac:dyDescent="0.35">
      <c r="K123" s="74" t="str">
        <f t="shared" si="13"/>
        <v/>
      </c>
    </row>
    <row r="124" spans="11:11" x14ac:dyDescent="0.35">
      <c r="K124" s="74" t="str">
        <f t="shared" si="13"/>
        <v/>
      </c>
    </row>
    <row r="125" spans="11:11" x14ac:dyDescent="0.35">
      <c r="K125" s="74" t="str">
        <f t="shared" si="13"/>
        <v/>
      </c>
    </row>
    <row r="126" spans="11:11" x14ac:dyDescent="0.35">
      <c r="K126" s="74" t="str">
        <f t="shared" si="13"/>
        <v/>
      </c>
    </row>
    <row r="127" spans="11:11" x14ac:dyDescent="0.35">
      <c r="K127" s="74" t="str">
        <f t="shared" si="13"/>
        <v/>
      </c>
    </row>
    <row r="128" spans="11:11" x14ac:dyDescent="0.35">
      <c r="K128" s="74" t="str">
        <f t="shared" si="13"/>
        <v/>
      </c>
    </row>
    <row r="129" spans="11:11" x14ac:dyDescent="0.35">
      <c r="K129" s="74" t="str">
        <f t="shared" si="13"/>
        <v/>
      </c>
    </row>
    <row r="130" spans="11:11" x14ac:dyDescent="0.35">
      <c r="K130" s="74" t="str">
        <f t="shared" si="13"/>
        <v/>
      </c>
    </row>
    <row r="131" spans="11:11" x14ac:dyDescent="0.35">
      <c r="K131" s="74" t="str">
        <f t="shared" si="13"/>
        <v/>
      </c>
    </row>
    <row r="132" spans="11:11" x14ac:dyDescent="0.35">
      <c r="K132" s="74" t="str">
        <f t="shared" si="13"/>
        <v/>
      </c>
    </row>
    <row r="133" spans="11:11" x14ac:dyDescent="0.35">
      <c r="K133" s="74" t="str">
        <f t="shared" si="13"/>
        <v/>
      </c>
    </row>
    <row r="134" spans="11:11" x14ac:dyDescent="0.35">
      <c r="K134" s="74" t="str">
        <f t="shared" ref="K134" si="14">IF(J134="","",J134*1000)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AJ57"/>
  <sheetViews>
    <sheetView topLeftCell="Q5" zoomScaleNormal="100" workbookViewId="0">
      <selection activeCell="T12" sqref="T12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5" t="s">
        <v>103</v>
      </c>
      <c r="C1" s="46"/>
      <c r="D1" s="46"/>
      <c r="E1" s="46"/>
      <c r="F1" s="46"/>
      <c r="G1" s="46"/>
      <c r="H1" s="46" t="s">
        <v>38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14</v>
      </c>
      <c r="N1" s="47" t="s">
        <v>16</v>
      </c>
      <c r="P1" s="45" t="s">
        <v>104</v>
      </c>
      <c r="Q1" s="46"/>
      <c r="R1" s="46"/>
      <c r="S1" s="47"/>
      <c r="U1" s="45" t="s">
        <v>67</v>
      </c>
      <c r="V1" s="46"/>
      <c r="W1" s="46" t="s">
        <v>68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</row>
    <row r="2" spans="2:36" x14ac:dyDescent="0.35">
      <c r="B2" s="48" t="s">
        <v>21</v>
      </c>
      <c r="C2" s="49">
        <v>0.4</v>
      </c>
      <c r="D2" s="50"/>
      <c r="E2" s="50"/>
      <c r="F2" s="50"/>
      <c r="G2" s="50"/>
      <c r="H2" s="50" t="s">
        <v>60</v>
      </c>
      <c r="I2" s="50">
        <f t="array" ref="I2:N2">LINEST($C$8:$C$29,$B$8:$B$29^{1,2,3,4,5})</f>
        <v>-37.338731560268933</v>
      </c>
      <c r="J2" s="50">
        <v>60.415543266473776</v>
      </c>
      <c r="K2" s="50">
        <v>-40.100332918376608</v>
      </c>
      <c r="L2" s="50">
        <v>10.861528210954219</v>
      </c>
      <c r="M2" s="50">
        <v>1.219433236209029</v>
      </c>
      <c r="N2" s="51">
        <v>5.6324387659485442E-3</v>
      </c>
      <c r="P2" s="52" t="s">
        <v>85</v>
      </c>
      <c r="Q2" s="49" t="s">
        <v>84</v>
      </c>
      <c r="R2" s="49" t="s">
        <v>83</v>
      </c>
      <c r="S2" s="51"/>
      <c r="U2" s="48" t="s">
        <v>74</v>
      </c>
      <c r="V2" s="50">
        <v>15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1"/>
    </row>
    <row r="3" spans="2:36" x14ac:dyDescent="0.35">
      <c r="B3" s="48" t="s">
        <v>34</v>
      </c>
      <c r="C3" s="49">
        <f>B25</f>
        <v>0.54054999999999997</v>
      </c>
      <c r="D3" s="50"/>
      <c r="E3" s="50"/>
      <c r="F3" s="50"/>
      <c r="G3" s="50"/>
      <c r="H3" s="50"/>
      <c r="I3" s="50" t="s">
        <v>7</v>
      </c>
      <c r="J3" s="50" t="s">
        <v>8</v>
      </c>
      <c r="K3" s="50" t="s">
        <v>9</v>
      </c>
      <c r="L3" s="50" t="s">
        <v>10</v>
      </c>
      <c r="M3" s="50" t="s">
        <v>14</v>
      </c>
      <c r="N3" s="51" t="s">
        <v>16</v>
      </c>
      <c r="P3" s="57">
        <v>3.3799999999999997E-2</v>
      </c>
      <c r="Q3" s="58">
        <v>1.0200000000000001E-2</v>
      </c>
      <c r="R3" s="49">
        <v>76.447000000000003</v>
      </c>
      <c r="S3" s="51"/>
      <c r="U3" s="48" t="s">
        <v>69</v>
      </c>
      <c r="V3" s="61">
        <f>133.332*EXP(20.386-5132/($V$2+273.15))</f>
        <v>1752.2815195738651</v>
      </c>
      <c r="W3" s="61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1"/>
    </row>
    <row r="4" spans="2:36" x14ac:dyDescent="0.35">
      <c r="B4" s="48" t="s">
        <v>39</v>
      </c>
      <c r="C4" s="49">
        <f>B29</f>
        <v>0.66774</v>
      </c>
      <c r="D4" s="50"/>
      <c r="E4" s="50"/>
      <c r="F4" s="50"/>
      <c r="G4" s="50"/>
      <c r="H4" s="50" t="s">
        <v>51</v>
      </c>
      <c r="I4" s="50">
        <f t="array" ref="I4:N4">LINEST($E$8:$E$29,$B$8:$B$29^{1,2,3,4,5})</f>
        <v>1.50306123620251</v>
      </c>
      <c r="J4" s="50">
        <v>-2.5374984706278121</v>
      </c>
      <c r="K4" s="50">
        <v>1.3544276792550067</v>
      </c>
      <c r="L4" s="50">
        <v>-0.24697189759583005</v>
      </c>
      <c r="M4" s="50">
        <v>1.1368965427661736E-2</v>
      </c>
      <c r="N4" s="51">
        <v>6.5704869073511876E-3</v>
      </c>
      <c r="P4" s="57">
        <v>5.1299999999999998E-2</v>
      </c>
      <c r="Q4" s="58">
        <v>1.41E-2</v>
      </c>
      <c r="R4" s="49">
        <v>68.295599999999993</v>
      </c>
      <c r="S4" s="51"/>
      <c r="U4" s="48" t="s">
        <v>73</v>
      </c>
      <c r="V4" s="50">
        <f>101325+$V$5*$V$7*$V$6</f>
        <v>103335.36324999999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</row>
    <row r="5" spans="2:36" x14ac:dyDescent="0.35">
      <c r="B5" s="48" t="s">
        <v>24</v>
      </c>
      <c r="C5" s="50">
        <f>LARGE(C8:C82,1)/100000</f>
        <v>0.87822999999999996</v>
      </c>
      <c r="D5" s="50"/>
      <c r="E5" s="50"/>
      <c r="F5" s="50"/>
      <c r="G5" s="50"/>
      <c r="H5" s="50"/>
      <c r="I5" s="50" t="s">
        <v>7</v>
      </c>
      <c r="J5" s="50" t="s">
        <v>8</v>
      </c>
      <c r="K5" s="50" t="s">
        <v>9</v>
      </c>
      <c r="L5" s="50" t="s">
        <v>10</v>
      </c>
      <c r="M5" s="50" t="s">
        <v>14</v>
      </c>
      <c r="N5" s="51" t="s">
        <v>16</v>
      </c>
      <c r="P5" s="57">
        <v>6.88E-2</v>
      </c>
      <c r="Q5" s="58">
        <v>1.6799999999999999E-2</v>
      </c>
      <c r="R5" s="49">
        <v>61.126199999999997</v>
      </c>
      <c r="S5" s="51"/>
      <c r="U5" s="48" t="s">
        <v>72</v>
      </c>
      <c r="V5" s="50">
        <v>1025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9"/>
    </row>
    <row r="6" spans="2:36" x14ac:dyDescent="0.35">
      <c r="B6" s="48"/>
      <c r="C6" s="50"/>
      <c r="D6" s="50"/>
      <c r="E6" s="50"/>
      <c r="F6" s="50"/>
      <c r="G6" s="50"/>
      <c r="H6" s="50" t="s">
        <v>52</v>
      </c>
      <c r="I6" s="50">
        <f t="array" ref="I6:N6">LINEST($D$8:$D$29,$B$8:$B$29^{1,2,3,4,5})</f>
        <v>3.0819874234095983</v>
      </c>
      <c r="J6" s="50">
        <v>-4.8794708765929578</v>
      </c>
      <c r="K6" s="50">
        <v>2.4204718865418942</v>
      </c>
      <c r="L6" s="50">
        <v>-0.42681862066952536</v>
      </c>
      <c r="M6" s="50">
        <v>3.2086211892149004E-2</v>
      </c>
      <c r="N6" s="51">
        <v>1.1964376934400264E-2</v>
      </c>
      <c r="P6" s="57">
        <v>8.6300000000000002E-2</v>
      </c>
      <c r="Q6" s="58">
        <v>1.7999999999999999E-2</v>
      </c>
      <c r="R6" s="49">
        <v>54.955500000000001</v>
      </c>
      <c r="S6" s="51"/>
      <c r="U6" s="48" t="s">
        <v>70</v>
      </c>
      <c r="V6" s="50">
        <v>0.2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9"/>
    </row>
    <row r="7" spans="2:36" x14ac:dyDescent="0.35">
      <c r="B7" s="48" t="s">
        <v>0</v>
      </c>
      <c r="C7" s="50" t="s">
        <v>15</v>
      </c>
      <c r="D7" s="50" t="s">
        <v>50</v>
      </c>
      <c r="E7" s="50" t="s">
        <v>49</v>
      </c>
      <c r="F7" s="50"/>
      <c r="G7" s="50"/>
      <c r="H7" s="50"/>
      <c r="I7" s="50"/>
      <c r="J7" s="50"/>
      <c r="K7" s="50"/>
      <c r="L7" s="50"/>
      <c r="M7" s="50"/>
      <c r="N7" s="51"/>
      <c r="P7" s="57">
        <v>0.10375</v>
      </c>
      <c r="Q7" s="58">
        <v>1.7999999999999999E-2</v>
      </c>
      <c r="R7" s="49">
        <v>49.703699999999998</v>
      </c>
      <c r="S7" s="51"/>
      <c r="U7" s="48" t="s">
        <v>71</v>
      </c>
      <c r="V7" s="50">
        <v>9.8066499999999994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x14ac:dyDescent="0.35">
      <c r="B8" s="52">
        <v>0</v>
      </c>
      <c r="C8" s="49">
        <v>0</v>
      </c>
      <c r="D8" s="49">
        <v>1.226E-2</v>
      </c>
      <c r="E8" s="49">
        <v>6.7229999999999998E-3</v>
      </c>
      <c r="F8" s="50"/>
      <c r="G8" s="50"/>
      <c r="H8" s="50"/>
      <c r="I8" s="50"/>
      <c r="J8" s="50"/>
      <c r="K8" s="50"/>
      <c r="L8" s="50"/>
      <c r="M8" s="50"/>
      <c r="N8" s="51"/>
      <c r="P8" s="57">
        <v>0.12125</v>
      </c>
      <c r="Q8" s="58">
        <v>1.7100000000000001E-2</v>
      </c>
      <c r="R8" s="49">
        <v>45.250300000000003</v>
      </c>
      <c r="S8" s="51"/>
      <c r="U8" s="48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1"/>
    </row>
    <row r="9" spans="2:36" x14ac:dyDescent="0.35">
      <c r="B9" s="52">
        <v>3.1800000000000002E-2</v>
      </c>
      <c r="C9" s="49">
        <v>5.9700000000000003E-2</v>
      </c>
      <c r="D9" s="49">
        <v>1.234E-2</v>
      </c>
      <c r="E9" s="49">
        <v>6.5760000000000002E-3</v>
      </c>
      <c r="F9" s="50"/>
      <c r="G9" s="50"/>
      <c r="H9" s="50"/>
      <c r="I9" s="50"/>
      <c r="J9" s="50"/>
      <c r="K9" s="50"/>
      <c r="L9" s="50"/>
      <c r="M9" s="50"/>
      <c r="N9" s="51"/>
      <c r="P9" s="57">
        <v>0.13875000000000001</v>
      </c>
      <c r="Q9" s="58">
        <v>1.55E-2</v>
      </c>
      <c r="R9" s="49">
        <v>41.469200000000001</v>
      </c>
      <c r="S9" s="51"/>
      <c r="U9" s="48"/>
      <c r="V9" s="50"/>
      <c r="W9" s="50"/>
      <c r="X9" s="50"/>
      <c r="Y9" s="50" t="s">
        <v>10</v>
      </c>
      <c r="Z9" s="50">
        <v>0.2</v>
      </c>
      <c r="AA9" s="50"/>
      <c r="AB9" s="50"/>
      <c r="AC9" s="50"/>
      <c r="AD9" s="50"/>
      <c r="AE9" s="50"/>
      <c r="AF9" s="50"/>
      <c r="AG9" s="50"/>
      <c r="AH9" s="50"/>
      <c r="AI9" s="50"/>
      <c r="AJ9" s="51"/>
    </row>
    <row r="10" spans="2:36" x14ac:dyDescent="0.35">
      <c r="B10" s="52">
        <v>6.3589999999999994E-2</v>
      </c>
      <c r="C10" s="49">
        <v>0.1235</v>
      </c>
      <c r="D10" s="49">
        <v>1.2500000000000001E-2</v>
      </c>
      <c r="E10" s="49">
        <v>6.4359999999999999E-3</v>
      </c>
      <c r="F10" s="49"/>
      <c r="G10" s="49"/>
      <c r="H10" s="50"/>
      <c r="I10" s="50"/>
      <c r="J10" s="49"/>
      <c r="K10" s="50"/>
      <c r="L10" s="50"/>
      <c r="M10" s="50"/>
      <c r="N10" s="51"/>
      <c r="P10" s="57">
        <v>0.15625</v>
      </c>
      <c r="Q10" s="58">
        <v>1.32E-2</v>
      </c>
      <c r="R10" s="49">
        <v>38.2453</v>
      </c>
      <c r="S10" s="59"/>
      <c r="U10" s="48" t="s">
        <v>77</v>
      </c>
      <c r="V10" s="50" t="s">
        <v>78</v>
      </c>
      <c r="W10" s="50" t="s">
        <v>79</v>
      </c>
      <c r="X10" s="50" t="s">
        <v>80</v>
      </c>
      <c r="Y10" s="50" t="s">
        <v>76</v>
      </c>
      <c r="Z10" s="50" t="s">
        <v>86</v>
      </c>
      <c r="AA10" s="50" t="s">
        <v>87</v>
      </c>
      <c r="AB10" s="50" t="s">
        <v>76</v>
      </c>
      <c r="AC10" s="50"/>
      <c r="AD10" s="50"/>
      <c r="AE10" s="50"/>
      <c r="AF10" s="50"/>
      <c r="AG10" s="50"/>
      <c r="AH10" s="50"/>
      <c r="AI10" s="50"/>
      <c r="AJ10" s="51"/>
    </row>
    <row r="11" spans="2:36" x14ac:dyDescent="0.35">
      <c r="B11" s="52">
        <v>9.5390000000000003E-2</v>
      </c>
      <c r="C11" s="49">
        <v>0.19220000000000001</v>
      </c>
      <c r="D11" s="49">
        <v>1.2749999999999999E-2</v>
      </c>
      <c r="E11" s="49">
        <v>6.3270000000000002E-3</v>
      </c>
      <c r="F11" s="49"/>
      <c r="G11" s="49"/>
      <c r="H11" s="50"/>
      <c r="I11" s="50"/>
      <c r="J11" s="49"/>
      <c r="K11" s="50"/>
      <c r="L11" s="50"/>
      <c r="M11" s="50"/>
      <c r="N11" s="51"/>
      <c r="P11" s="57">
        <v>0.17374999999999999</v>
      </c>
      <c r="Q11" s="58">
        <v>1.0200000000000001E-2</v>
      </c>
      <c r="R11" s="49">
        <v>35.4803</v>
      </c>
      <c r="S11" s="51"/>
      <c r="U11" s="48">
        <v>1</v>
      </c>
      <c r="V11" s="62" t="e">
        <f>#REF!</f>
        <v>#REF!</v>
      </c>
      <c r="W11" s="63" t="e">
        <f t="shared" ref="W11:W16" si="0">V11*0.2</f>
        <v>#REF!</v>
      </c>
      <c r="X11" s="63" t="e">
        <f t="shared" ref="X11:X16" si="1">SQRT(W11^2+U11^2)</f>
        <v>#REF!</v>
      </c>
      <c r="Y11" s="63" t="e">
        <f t="shared" ref="Y11:Y16" si="2">($V$3-$V$4-$V$5*$V$6*$V$7)/(0.5*$V$5*X11^2)</f>
        <v>#REF!</v>
      </c>
      <c r="Z11" s="63" t="e">
        <f>0.69375*$Z$9*V11</f>
        <v>#REF!</v>
      </c>
      <c r="AA11" s="63" t="e">
        <f t="shared" ref="AA11:AA16" si="3">SQRT(Z11^2+U11^2)</f>
        <v>#REF!</v>
      </c>
      <c r="AB11" s="63" t="e">
        <f t="shared" ref="AB11:AB16" si="4">($V$3-$V$4-$V$5*$V$6*$V$7)/(0.5*$V$5*AA11^2)</f>
        <v>#REF!</v>
      </c>
      <c r="AC11" s="50"/>
      <c r="AD11" s="50"/>
      <c r="AE11" s="50"/>
      <c r="AF11" s="50"/>
      <c r="AG11" s="50"/>
      <c r="AH11" s="50"/>
      <c r="AI11" s="50"/>
      <c r="AJ11" s="51"/>
    </row>
    <row r="12" spans="2:36" x14ac:dyDescent="0.35">
      <c r="B12" s="52">
        <v>0.12719</v>
      </c>
      <c r="C12" s="49">
        <v>0.2656</v>
      </c>
      <c r="D12" s="49">
        <v>1.3089999999999999E-2</v>
      </c>
      <c r="E12" s="49">
        <v>6.2690000000000003E-3</v>
      </c>
      <c r="F12" s="49"/>
      <c r="G12" s="49"/>
      <c r="H12" s="50"/>
      <c r="I12" s="50"/>
      <c r="J12" s="49"/>
      <c r="K12" s="50"/>
      <c r="L12" s="50"/>
      <c r="M12" s="50"/>
      <c r="N12" s="51"/>
      <c r="P12" s="57">
        <v>0.19125</v>
      </c>
      <c r="Q12" s="58">
        <v>5.8300000000000001E-3</v>
      </c>
      <c r="R12" s="49">
        <v>33.093299999999999</v>
      </c>
      <c r="S12" s="51"/>
      <c r="U12" s="48">
        <v>2</v>
      </c>
      <c r="V12" s="62" t="e">
        <f>#REF!</f>
        <v>#REF!</v>
      </c>
      <c r="W12" s="63" t="e">
        <f t="shared" si="0"/>
        <v>#REF!</v>
      </c>
      <c r="X12" s="63" t="e">
        <f t="shared" si="1"/>
        <v>#REF!</v>
      </c>
      <c r="Y12" s="63" t="e">
        <f t="shared" si="2"/>
        <v>#REF!</v>
      </c>
      <c r="Z12" s="63" t="e">
        <f t="shared" ref="Z12:Z16" si="5">0.69375*$Z$9*V12</f>
        <v>#REF!</v>
      </c>
      <c r="AA12" s="63" t="e">
        <f t="shared" si="3"/>
        <v>#REF!</v>
      </c>
      <c r="AB12" s="63" t="e">
        <f t="shared" si="4"/>
        <v>#REF!</v>
      </c>
      <c r="AC12" s="50"/>
      <c r="AD12" s="50"/>
      <c r="AE12" s="50"/>
      <c r="AF12" s="50"/>
      <c r="AG12" s="50"/>
      <c r="AH12" s="50"/>
      <c r="AI12" s="50"/>
      <c r="AJ12" s="51"/>
    </row>
    <row r="13" spans="2:36" x14ac:dyDescent="0.35">
      <c r="B13" s="52">
        <v>0.15898999999999999</v>
      </c>
      <c r="C13" s="49">
        <v>0.34260000000000002</v>
      </c>
      <c r="D13" s="49">
        <v>1.3520000000000001E-2</v>
      </c>
      <c r="E13" s="49">
        <v>6.2740000000000001E-3</v>
      </c>
      <c r="F13" s="49"/>
      <c r="G13" s="49"/>
      <c r="H13" s="50"/>
      <c r="I13" s="50"/>
      <c r="J13" s="49"/>
      <c r="K13" s="50"/>
      <c r="L13" s="50"/>
      <c r="M13" s="50"/>
      <c r="N13" s="51"/>
      <c r="P13" s="57">
        <v>0.2</v>
      </c>
      <c r="Q13" s="58">
        <v>3.14E-3</v>
      </c>
      <c r="R13" s="49">
        <v>32.041499999999999</v>
      </c>
      <c r="S13" s="51"/>
      <c r="U13" s="48">
        <v>3</v>
      </c>
      <c r="V13" s="62" t="e">
        <f>#REF!</f>
        <v>#REF!</v>
      </c>
      <c r="W13" s="63" t="e">
        <f t="shared" si="0"/>
        <v>#REF!</v>
      </c>
      <c r="X13" s="63" t="e">
        <f t="shared" si="1"/>
        <v>#REF!</v>
      </c>
      <c r="Y13" s="63" t="e">
        <f t="shared" si="2"/>
        <v>#REF!</v>
      </c>
      <c r="Z13" s="63" t="e">
        <f t="shared" si="5"/>
        <v>#REF!</v>
      </c>
      <c r="AA13" s="63" t="e">
        <f t="shared" si="3"/>
        <v>#REF!</v>
      </c>
      <c r="AB13" s="63" t="e">
        <f t="shared" si="4"/>
        <v>#REF!</v>
      </c>
      <c r="AC13" s="50"/>
      <c r="AD13" s="50"/>
      <c r="AE13" s="50"/>
      <c r="AF13" s="50"/>
      <c r="AG13" s="50"/>
      <c r="AH13" s="50"/>
      <c r="AI13" s="50"/>
      <c r="AJ13" s="51"/>
    </row>
    <row r="14" spans="2:36" ht="15" thickBot="1" x14ac:dyDescent="0.4">
      <c r="B14" s="52">
        <v>0.19078000000000001</v>
      </c>
      <c r="C14" s="49">
        <v>0.42120000000000002</v>
      </c>
      <c r="D14" s="49">
        <v>1.4019999999999999E-2</v>
      </c>
      <c r="E14" s="49">
        <v>6.3509999999999999E-3</v>
      </c>
      <c r="F14" s="49"/>
      <c r="G14" s="49"/>
      <c r="H14" s="50"/>
      <c r="I14" s="50"/>
      <c r="J14" s="49"/>
      <c r="K14" s="50"/>
      <c r="L14" s="50"/>
      <c r="M14" s="50"/>
      <c r="N14" s="51"/>
      <c r="P14" s="60"/>
      <c r="Q14" s="55"/>
      <c r="R14" s="55"/>
      <c r="S14" s="56"/>
      <c r="U14" s="48">
        <v>4</v>
      </c>
      <c r="V14" s="62" t="e">
        <f>#REF!</f>
        <v>#REF!</v>
      </c>
      <c r="W14" s="63" t="e">
        <f t="shared" si="0"/>
        <v>#REF!</v>
      </c>
      <c r="X14" s="63" t="e">
        <f t="shared" si="1"/>
        <v>#REF!</v>
      </c>
      <c r="Y14" s="63" t="e">
        <f t="shared" si="2"/>
        <v>#REF!</v>
      </c>
      <c r="Z14" s="63" t="e">
        <f t="shared" si="5"/>
        <v>#REF!</v>
      </c>
      <c r="AA14" s="63" t="e">
        <f t="shared" si="3"/>
        <v>#REF!</v>
      </c>
      <c r="AB14" s="63" t="e">
        <f t="shared" si="4"/>
        <v>#REF!</v>
      </c>
      <c r="AC14" s="50"/>
      <c r="AD14" s="50"/>
      <c r="AE14" s="50"/>
      <c r="AF14" s="50"/>
      <c r="AG14" s="50"/>
      <c r="AH14" s="50"/>
      <c r="AI14" s="50"/>
      <c r="AJ14" s="51"/>
    </row>
    <row r="15" spans="2:36" x14ac:dyDescent="0.35">
      <c r="B15" s="52">
        <v>0.22258</v>
      </c>
      <c r="C15" s="49">
        <v>0.49880000000000002</v>
      </c>
      <c r="D15" s="49">
        <v>1.4579999999999999E-2</v>
      </c>
      <c r="E15" s="49">
        <v>6.5040000000000002E-3</v>
      </c>
      <c r="F15" s="49"/>
      <c r="G15" s="49"/>
      <c r="H15" s="50"/>
      <c r="I15" s="50"/>
      <c r="J15" s="49"/>
      <c r="K15" s="50"/>
      <c r="L15" s="50"/>
      <c r="M15" s="50"/>
      <c r="N15" s="51"/>
      <c r="U15" s="48">
        <v>5</v>
      </c>
      <c r="V15" s="62" t="e">
        <f>#REF!</f>
        <v>#REF!</v>
      </c>
      <c r="W15" s="63" t="e">
        <f t="shared" si="0"/>
        <v>#REF!</v>
      </c>
      <c r="X15" s="63" t="e">
        <f t="shared" si="1"/>
        <v>#REF!</v>
      </c>
      <c r="Y15" s="63" t="e">
        <f t="shared" si="2"/>
        <v>#REF!</v>
      </c>
      <c r="Z15" s="63" t="e">
        <f t="shared" si="5"/>
        <v>#REF!</v>
      </c>
      <c r="AA15" s="63" t="e">
        <f t="shared" si="3"/>
        <v>#REF!</v>
      </c>
      <c r="AB15" s="63" t="e">
        <f t="shared" si="4"/>
        <v>#REF!</v>
      </c>
      <c r="AC15" s="50"/>
      <c r="AD15" s="50" t="s">
        <v>98</v>
      </c>
      <c r="AE15" s="50">
        <v>6.3526999999999996</v>
      </c>
      <c r="AF15" s="64" t="s">
        <v>96</v>
      </c>
      <c r="AG15" s="64"/>
      <c r="AH15" s="50"/>
      <c r="AI15" s="50"/>
      <c r="AJ15" s="51"/>
    </row>
    <row r="16" spans="2:36" x14ac:dyDescent="0.35">
      <c r="B16" s="52">
        <v>0.25438</v>
      </c>
      <c r="C16" s="49">
        <v>0.57310000000000005</v>
      </c>
      <c r="D16" s="49">
        <v>1.5180000000000001E-2</v>
      </c>
      <c r="E16" s="49">
        <v>6.7369999999999999E-3</v>
      </c>
      <c r="F16" s="49"/>
      <c r="G16" s="49"/>
      <c r="H16" s="50"/>
      <c r="I16" s="50"/>
      <c r="J16" s="49"/>
      <c r="K16" s="50"/>
      <c r="L16" s="50"/>
      <c r="M16" s="50"/>
      <c r="N16" s="51"/>
      <c r="U16" s="48">
        <v>6</v>
      </c>
      <c r="V16" s="62" t="e">
        <f>#REF!</f>
        <v>#REF!</v>
      </c>
      <c r="W16" s="63" t="e">
        <f t="shared" si="0"/>
        <v>#REF!</v>
      </c>
      <c r="X16" s="63" t="e">
        <f t="shared" si="1"/>
        <v>#REF!</v>
      </c>
      <c r="Y16" s="63" t="e">
        <f t="shared" si="2"/>
        <v>#REF!</v>
      </c>
      <c r="Z16" s="63" t="e">
        <f t="shared" si="5"/>
        <v>#REF!</v>
      </c>
      <c r="AA16" s="63" t="e">
        <f t="shared" si="3"/>
        <v>#REF!</v>
      </c>
      <c r="AB16" s="63" t="e">
        <f t="shared" si="4"/>
        <v>#REF!</v>
      </c>
      <c r="AC16" s="50"/>
      <c r="AD16" s="50" t="s">
        <v>99</v>
      </c>
      <c r="AE16" s="50">
        <v>0.43209999999999998</v>
      </c>
      <c r="AF16" s="64" t="s">
        <v>97</v>
      </c>
      <c r="AG16" s="64"/>
      <c r="AH16" s="50"/>
      <c r="AI16" s="50"/>
      <c r="AJ16" s="51"/>
    </row>
    <row r="17" spans="2:36" x14ac:dyDescent="0.35">
      <c r="B17" s="52">
        <v>0.28616999999999998</v>
      </c>
      <c r="C17" s="49">
        <v>0.64170000000000005</v>
      </c>
      <c r="D17" s="49">
        <v>1.5810000000000001E-2</v>
      </c>
      <c r="E17" s="49">
        <v>7.051E-3</v>
      </c>
      <c r="F17" s="49"/>
      <c r="G17" s="49"/>
      <c r="H17" s="50"/>
      <c r="I17" s="50"/>
      <c r="J17" s="49"/>
      <c r="K17" s="50"/>
      <c r="L17" s="50"/>
      <c r="M17" s="50"/>
      <c r="N17" s="51"/>
      <c r="U17" s="48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1"/>
    </row>
    <row r="18" spans="2:36" x14ac:dyDescent="0.35">
      <c r="B18" s="52">
        <v>0.31796999999999997</v>
      </c>
      <c r="C18" s="49">
        <v>0.70299999999999996</v>
      </c>
      <c r="D18" s="49">
        <v>1.6459999999999999E-2</v>
      </c>
      <c r="E18" s="49">
        <v>7.4450000000000002E-3</v>
      </c>
      <c r="F18" s="49"/>
      <c r="G18" s="49"/>
      <c r="H18" s="50"/>
      <c r="I18" s="50"/>
      <c r="J18" s="49"/>
      <c r="K18" s="50"/>
      <c r="L18" s="50"/>
      <c r="M18" s="50"/>
      <c r="N18" s="51"/>
      <c r="U18" s="48"/>
      <c r="V18" s="67" t="s">
        <v>112</v>
      </c>
      <c r="W18" s="50"/>
      <c r="X18" s="50"/>
      <c r="Y18" s="50"/>
      <c r="Z18" s="50"/>
      <c r="AA18" s="50"/>
      <c r="AB18" s="50">
        <v>0.13875000000000001</v>
      </c>
      <c r="AC18" s="50"/>
      <c r="AD18" s="50"/>
      <c r="AE18" s="50"/>
      <c r="AF18" s="50"/>
      <c r="AG18" s="50"/>
      <c r="AH18" s="50"/>
      <c r="AI18" s="50"/>
      <c r="AJ18" s="51"/>
    </row>
    <row r="19" spans="2:36" x14ac:dyDescent="0.35">
      <c r="B19" s="52">
        <v>0.34977000000000003</v>
      </c>
      <c r="C19" s="49">
        <v>0.75609999999999999</v>
      </c>
      <c r="D19" s="49">
        <v>1.712E-2</v>
      </c>
      <c r="E19" s="49">
        <v>7.9190000000000007E-3</v>
      </c>
      <c r="F19" s="49"/>
      <c r="G19" s="49"/>
      <c r="H19" s="50"/>
      <c r="I19" s="50"/>
      <c r="J19" s="49"/>
      <c r="K19" s="50"/>
      <c r="L19" s="50"/>
      <c r="M19" s="50"/>
      <c r="N19" s="51"/>
      <c r="U19" s="48" t="s">
        <v>81</v>
      </c>
      <c r="V19" s="50" t="s">
        <v>63</v>
      </c>
      <c r="W19" s="50"/>
      <c r="X19" s="50">
        <v>32.045000000000002</v>
      </c>
      <c r="Y19" s="50"/>
      <c r="Z19" s="50"/>
      <c r="AA19" s="50"/>
      <c r="AB19" s="50" t="s">
        <v>88</v>
      </c>
      <c r="AC19" s="50"/>
      <c r="AD19" s="50" t="s">
        <v>63</v>
      </c>
      <c r="AE19" s="50">
        <v>41.469200000000001</v>
      </c>
      <c r="AF19" s="50"/>
      <c r="AG19" s="50"/>
      <c r="AH19" s="50"/>
      <c r="AI19" s="50"/>
      <c r="AJ19" s="51"/>
    </row>
    <row r="20" spans="2:36" x14ac:dyDescent="0.35">
      <c r="B20" s="52">
        <v>0.38156000000000001</v>
      </c>
      <c r="C20" s="49">
        <v>0.80049999999999999</v>
      </c>
      <c r="D20" s="49">
        <v>1.7770000000000001E-2</v>
      </c>
      <c r="E20" s="49">
        <v>8.4709999999999994E-3</v>
      </c>
      <c r="F20" s="49"/>
      <c r="G20" s="49"/>
      <c r="H20" s="50"/>
      <c r="I20" s="50"/>
      <c r="J20" s="49"/>
      <c r="K20" s="50"/>
      <c r="L20" s="50"/>
      <c r="M20" s="50"/>
      <c r="N20" s="51"/>
      <c r="U20" s="48" t="s">
        <v>77</v>
      </c>
      <c r="V20" s="50" t="s">
        <v>64</v>
      </c>
      <c r="W20" s="50" t="s">
        <v>95</v>
      </c>
      <c r="X20" s="50" t="s">
        <v>82</v>
      </c>
      <c r="Y20" s="50" t="s">
        <v>75</v>
      </c>
      <c r="Z20" s="50" t="s">
        <v>100</v>
      </c>
      <c r="AA20" s="50"/>
      <c r="AB20" s="50" t="s">
        <v>64</v>
      </c>
      <c r="AC20" s="50" t="s">
        <v>95</v>
      </c>
      <c r="AD20" s="50" t="s">
        <v>82</v>
      </c>
      <c r="AE20" s="50" t="s">
        <v>75</v>
      </c>
      <c r="AF20" s="50" t="s">
        <v>100</v>
      </c>
      <c r="AG20" s="50"/>
      <c r="AH20" s="50"/>
      <c r="AI20" s="50"/>
      <c r="AJ20" s="51"/>
    </row>
    <row r="21" spans="2:36" x14ac:dyDescent="0.35">
      <c r="B21" s="52">
        <v>0.41336000000000001</v>
      </c>
      <c r="C21" s="49">
        <v>0.83650000000000002</v>
      </c>
      <c r="D21" s="49">
        <v>1.8419999999999999E-2</v>
      </c>
      <c r="E21" s="49">
        <v>9.1000000000000004E-3</v>
      </c>
      <c r="F21" s="49"/>
      <c r="G21" s="49"/>
      <c r="H21" s="50"/>
      <c r="I21" s="50"/>
      <c r="J21" s="49"/>
      <c r="K21" s="50"/>
      <c r="L21" s="50"/>
      <c r="M21" s="50"/>
      <c r="N21" s="51"/>
      <c r="U21" s="48">
        <v>1</v>
      </c>
      <c r="V21" s="50">
        <v>33458</v>
      </c>
      <c r="W21" s="50">
        <v>1.899</v>
      </c>
      <c r="X21" s="50">
        <f t="shared" ref="X21:X26" si="6">(180/PI())*(W21-$AE$16)/$AE$15</f>
        <v>13.230150796943105</v>
      </c>
      <c r="Y21" s="50">
        <v>-4</v>
      </c>
      <c r="Z21" s="50" t="e">
        <f t="shared" ref="Z21:Z26" si="7">Y11/Y21</f>
        <v>#REF!</v>
      </c>
      <c r="AA21" s="50"/>
      <c r="AB21" s="50">
        <v>87823</v>
      </c>
      <c r="AC21" s="50">
        <v>1.1518999999999999</v>
      </c>
      <c r="AD21" s="50">
        <f t="shared" ref="AD21:AD26" si="8">(180/PI())*(AC21-$AE$16)/$AE$15</f>
        <v>6.4919643763307979</v>
      </c>
      <c r="AE21" s="50">
        <v>-3</v>
      </c>
      <c r="AF21" s="50" t="e">
        <f t="shared" ref="AF21:AF26" si="9">AB11/AE21</f>
        <v>#REF!</v>
      </c>
      <c r="AG21" s="50"/>
      <c r="AH21" s="50"/>
      <c r="AI21" s="50"/>
      <c r="AJ21" s="51"/>
    </row>
    <row r="22" spans="2:36" x14ac:dyDescent="0.35">
      <c r="B22" s="52">
        <v>0.44516</v>
      </c>
      <c r="C22" s="49">
        <v>0.90269999999999995</v>
      </c>
      <c r="D22" s="49">
        <v>1.8700000000000001E-2</v>
      </c>
      <c r="E22" s="49">
        <v>9.221E-3</v>
      </c>
      <c r="F22" s="49"/>
      <c r="G22" s="49"/>
      <c r="H22" s="50"/>
      <c r="I22" s="50"/>
      <c r="J22" s="49"/>
      <c r="K22" s="50"/>
      <c r="L22" s="50"/>
      <c r="M22" s="50"/>
      <c r="N22" s="51"/>
      <c r="U22" s="48">
        <v>2</v>
      </c>
      <c r="V22" s="50">
        <v>34285</v>
      </c>
      <c r="W22" s="50">
        <v>1.2309000000000001</v>
      </c>
      <c r="X22" s="50">
        <f t="shared" si="6"/>
        <v>7.2044750539219811</v>
      </c>
      <c r="Y22" s="50">
        <v>-3</v>
      </c>
      <c r="Z22" s="50" t="e">
        <f t="shared" si="7"/>
        <v>#REF!</v>
      </c>
      <c r="AA22" s="50"/>
      <c r="AB22" s="50">
        <v>92172</v>
      </c>
      <c r="AC22" s="50">
        <v>1.2205999999999999</v>
      </c>
      <c r="AD22" s="50">
        <f t="shared" si="8"/>
        <v>7.1115780921600917</v>
      </c>
      <c r="AE22" s="50">
        <v>-3</v>
      </c>
      <c r="AF22" s="50" t="e">
        <f t="shared" si="9"/>
        <v>#REF!</v>
      </c>
      <c r="AG22" s="50"/>
      <c r="AH22" s="50"/>
      <c r="AI22" s="50"/>
      <c r="AJ22" s="51"/>
    </row>
    <row r="23" spans="2:36" x14ac:dyDescent="0.35">
      <c r="B23" s="52">
        <v>0.47696</v>
      </c>
      <c r="C23" s="49">
        <v>0.91420000000000001</v>
      </c>
      <c r="D23" s="49">
        <v>1.6500000000000001E-2</v>
      </c>
      <c r="E23" s="49">
        <v>8.6090000000000003E-3</v>
      </c>
      <c r="F23" s="49"/>
      <c r="G23" s="49"/>
      <c r="H23" s="50"/>
      <c r="I23" s="50"/>
      <c r="J23" s="49"/>
      <c r="K23" s="50"/>
      <c r="L23" s="50"/>
      <c r="M23" s="50"/>
      <c r="N23" s="51"/>
      <c r="U23" s="48">
        <v>3</v>
      </c>
      <c r="V23" s="50">
        <v>35609</v>
      </c>
      <c r="W23" s="50">
        <v>1.2548999999999999</v>
      </c>
      <c r="X23" s="50">
        <f t="shared" si="6"/>
        <v>7.4209339939496815</v>
      </c>
      <c r="Y23" s="50">
        <v>-2.75</v>
      </c>
      <c r="Z23" s="50" t="e">
        <f t="shared" si="7"/>
        <v>#REF!</v>
      </c>
      <c r="AA23" s="50"/>
      <c r="AB23" s="50">
        <v>98939</v>
      </c>
      <c r="AC23" s="50">
        <v>1.2571000000000001</v>
      </c>
      <c r="AD23" s="50">
        <f t="shared" si="8"/>
        <v>7.4407760634522218</v>
      </c>
      <c r="AE23" s="50">
        <v>-3</v>
      </c>
      <c r="AF23" s="50" t="e">
        <f t="shared" si="9"/>
        <v>#REF!</v>
      </c>
      <c r="AG23" s="50"/>
      <c r="AH23" s="50"/>
      <c r="AI23" s="50"/>
      <c r="AJ23" s="51"/>
    </row>
    <row r="24" spans="2:36" x14ac:dyDescent="0.35">
      <c r="B24" s="52">
        <v>0.50875000000000004</v>
      </c>
      <c r="C24" s="49">
        <v>0.92259999999999998</v>
      </c>
      <c r="D24" s="49">
        <v>1.4279999999999999E-2</v>
      </c>
      <c r="E24" s="49">
        <v>7.8759999999999993E-3</v>
      </c>
      <c r="F24" s="49"/>
      <c r="G24" s="49"/>
      <c r="H24" s="50"/>
      <c r="I24" s="50"/>
      <c r="J24" s="49"/>
      <c r="K24" s="50"/>
      <c r="L24" s="50"/>
      <c r="M24" s="50"/>
      <c r="N24" s="51"/>
      <c r="U24" s="48">
        <v>4</v>
      </c>
      <c r="V24" s="50">
        <v>37388</v>
      </c>
      <c r="W24" s="50">
        <v>0.83440000000000003</v>
      </c>
      <c r="X24" s="50">
        <f t="shared" si="6"/>
        <v>3.6283929822143377</v>
      </c>
      <c r="Y24" s="50">
        <v>-1.3</v>
      </c>
      <c r="Z24" s="50" t="e">
        <f t="shared" si="7"/>
        <v>#REF!</v>
      </c>
      <c r="AA24" s="50"/>
      <c r="AB24" s="50">
        <v>107710</v>
      </c>
      <c r="AC24" s="50">
        <v>0.89049999999999996</v>
      </c>
      <c r="AD24" s="50">
        <f t="shared" si="8"/>
        <v>4.1343657545290879</v>
      </c>
      <c r="AE24" s="50">
        <v>-1.5</v>
      </c>
      <c r="AF24" s="50" t="e">
        <f t="shared" si="9"/>
        <v>#REF!</v>
      </c>
      <c r="AG24" s="50"/>
      <c r="AH24" s="50"/>
      <c r="AI24" s="50"/>
      <c r="AJ24" s="51"/>
    </row>
    <row r="25" spans="2:36" x14ac:dyDescent="0.35">
      <c r="B25" s="52">
        <v>0.54054999999999997</v>
      </c>
      <c r="C25" s="49">
        <v>0.92710000000000004</v>
      </c>
      <c r="D25" s="49">
        <v>1.204E-2</v>
      </c>
      <c r="E25" s="49">
        <v>7.0179999999999999E-3</v>
      </c>
      <c r="F25" s="49"/>
      <c r="G25" s="49"/>
      <c r="H25" s="50"/>
      <c r="I25" s="50"/>
      <c r="J25" s="49"/>
      <c r="K25" s="50"/>
      <c r="L25" s="50"/>
      <c r="M25" s="50"/>
      <c r="N25" s="51"/>
      <c r="U25" s="48">
        <v>5</v>
      </c>
      <c r="V25" s="50">
        <v>42884</v>
      </c>
      <c r="W25" s="50">
        <v>0.55869999999999997</v>
      </c>
      <c r="X25" s="50">
        <f t="shared" si="6"/>
        <v>1.1418209086461224</v>
      </c>
      <c r="Y25" s="50">
        <v>-0.9</v>
      </c>
      <c r="Z25" s="50" t="e">
        <f t="shared" si="7"/>
        <v>#REF!</v>
      </c>
      <c r="AA25" s="50"/>
      <c r="AB25" s="50">
        <v>125658</v>
      </c>
      <c r="AC25" s="50">
        <v>0.58919999999999995</v>
      </c>
      <c r="AD25" s="50">
        <f t="shared" si="8"/>
        <v>1.4169041449313255</v>
      </c>
      <c r="AE25" s="50">
        <v>-0.9</v>
      </c>
      <c r="AF25" s="50" t="e">
        <f t="shared" si="9"/>
        <v>#REF!</v>
      </c>
      <c r="AG25" s="50"/>
      <c r="AH25" s="50"/>
      <c r="AI25" s="50"/>
      <c r="AJ25" s="51"/>
    </row>
    <row r="26" spans="2:36" ht="15" thickBot="1" x14ac:dyDescent="0.4">
      <c r="B26" s="52">
        <v>0.57235000000000003</v>
      </c>
      <c r="C26" s="49">
        <v>0.92620000000000002</v>
      </c>
      <c r="D26" s="49">
        <v>9.7599999999999996E-3</v>
      </c>
      <c r="E26" s="49">
        <v>6.0309999999999999E-3</v>
      </c>
      <c r="F26" s="49"/>
      <c r="G26" s="49"/>
      <c r="H26" s="50"/>
      <c r="I26" s="50"/>
      <c r="J26" s="50"/>
      <c r="K26" s="50"/>
      <c r="L26" s="50"/>
      <c r="M26" s="50"/>
      <c r="N26" s="51"/>
      <c r="U26" s="60">
        <v>6</v>
      </c>
      <c r="V26" s="55">
        <v>48451</v>
      </c>
      <c r="W26" s="55">
        <v>0.34420000000000001</v>
      </c>
      <c r="X26" s="55">
        <f t="shared" si="6"/>
        <v>-0.79278086785145452</v>
      </c>
      <c r="Y26" s="55">
        <v>-1</v>
      </c>
      <c r="Z26" s="55" t="e">
        <f t="shared" si="7"/>
        <v>#REF!</v>
      </c>
      <c r="AA26" s="55"/>
      <c r="AB26" s="55">
        <v>143879</v>
      </c>
      <c r="AC26" s="55">
        <v>0.35170000000000001</v>
      </c>
      <c r="AD26" s="55">
        <f t="shared" si="8"/>
        <v>-0.72513744909279787</v>
      </c>
      <c r="AE26" s="55">
        <v>-0.7</v>
      </c>
      <c r="AF26" s="55" t="e">
        <f t="shared" si="9"/>
        <v>#REF!</v>
      </c>
      <c r="AG26" s="55"/>
      <c r="AH26" s="55"/>
      <c r="AI26" s="55"/>
      <c r="AJ26" s="56"/>
    </row>
    <row r="27" spans="2:36" x14ac:dyDescent="0.35">
      <c r="B27" s="52">
        <v>0.60414000000000001</v>
      </c>
      <c r="C27" s="49">
        <v>0.91539999999999999</v>
      </c>
      <c r="D27" s="49">
        <v>7.4510000000000002E-3</v>
      </c>
      <c r="E27" s="49">
        <v>4.9170000000000004E-3</v>
      </c>
      <c r="F27" s="49"/>
      <c r="G27" s="49"/>
      <c r="H27" s="50"/>
      <c r="I27" s="50"/>
      <c r="J27" s="50"/>
      <c r="K27" s="50"/>
      <c r="L27" s="50"/>
      <c r="M27" s="50"/>
      <c r="N27" s="51"/>
    </row>
    <row r="28" spans="2:36" x14ac:dyDescent="0.35">
      <c r="B28" s="52">
        <v>0.63593999999999995</v>
      </c>
      <c r="C28" s="49">
        <v>0.87839999999999996</v>
      </c>
      <c r="D28" s="49">
        <v>5.0889999999999998E-3</v>
      </c>
      <c r="E28" s="49">
        <v>3.6849999999999999E-3</v>
      </c>
      <c r="F28" s="49"/>
      <c r="G28" s="49"/>
      <c r="H28" s="50"/>
      <c r="I28" s="50"/>
      <c r="J28" s="50"/>
      <c r="K28" s="50"/>
      <c r="L28" s="50"/>
      <c r="M28" s="50"/>
      <c r="N28" s="51"/>
    </row>
    <row r="29" spans="2:36" ht="15" thickBot="1" x14ac:dyDescent="0.4">
      <c r="B29" s="53">
        <v>0.66774</v>
      </c>
      <c r="C29" s="54">
        <v>0.7651</v>
      </c>
      <c r="D29" s="54">
        <v>2.6700000000000001E-3</v>
      </c>
      <c r="E29" s="54">
        <v>2.3310000000000002E-3</v>
      </c>
      <c r="F29" s="54"/>
      <c r="G29" s="54"/>
      <c r="H29" s="55"/>
      <c r="I29" s="55"/>
      <c r="J29" s="55"/>
      <c r="K29" s="55"/>
      <c r="L29" s="55"/>
      <c r="M29" s="55"/>
      <c r="N29" s="56"/>
    </row>
    <row r="30" spans="2:36" ht="15" thickBot="1" x14ac:dyDescent="0.4">
      <c r="F30" s="1"/>
      <c r="G30" s="1"/>
    </row>
    <row r="31" spans="2:36" x14ac:dyDescent="0.35">
      <c r="B31" s="45"/>
      <c r="C31" s="46">
        <v>1</v>
      </c>
      <c r="D31" s="46">
        <v>2</v>
      </c>
      <c r="E31" s="46">
        <v>3</v>
      </c>
      <c r="F31" s="46">
        <v>4</v>
      </c>
      <c r="G31" s="46">
        <v>5</v>
      </c>
      <c r="H31" s="46">
        <v>6</v>
      </c>
      <c r="I31" s="46"/>
      <c r="J31" s="46"/>
      <c r="K31" s="46"/>
      <c r="L31" s="46"/>
      <c r="M31" s="46"/>
      <c r="N31" s="46"/>
      <c r="O31" s="46"/>
      <c r="P31" s="46"/>
      <c r="Q31" s="47"/>
    </row>
    <row r="32" spans="2:36" x14ac:dyDescent="0.35">
      <c r="B32" s="48" t="s">
        <v>62</v>
      </c>
      <c r="C32" s="50" t="s">
        <v>64</v>
      </c>
      <c r="D32" s="50" t="s">
        <v>65</v>
      </c>
      <c r="E32" s="50" t="s">
        <v>64</v>
      </c>
      <c r="F32" s="50" t="s">
        <v>66</v>
      </c>
      <c r="G32" s="50" t="s">
        <v>64</v>
      </c>
      <c r="H32" s="50" t="s">
        <v>64</v>
      </c>
      <c r="I32" s="50"/>
      <c r="J32" s="50"/>
      <c r="K32" s="50"/>
      <c r="L32" s="50"/>
      <c r="M32" s="50"/>
      <c r="N32" s="50"/>
      <c r="O32" s="50"/>
      <c r="P32" s="50"/>
      <c r="Q32" s="51"/>
    </row>
    <row r="33" spans="2:17" x14ac:dyDescent="0.35">
      <c r="B33" s="48">
        <v>3.7100000000000001E-2</v>
      </c>
      <c r="C33" s="50">
        <v>19940</v>
      </c>
      <c r="D33" s="50">
        <v>27915</v>
      </c>
      <c r="E33" s="50">
        <v>37619</v>
      </c>
      <c r="F33" s="50">
        <v>48020</v>
      </c>
      <c r="G33" s="50">
        <v>59317</v>
      </c>
      <c r="H33" s="50">
        <v>70660</v>
      </c>
      <c r="I33" s="50"/>
      <c r="J33" s="50"/>
      <c r="K33" s="50"/>
      <c r="L33" s="50"/>
      <c r="M33" s="50"/>
      <c r="N33" s="50"/>
      <c r="O33" s="50"/>
      <c r="P33" s="50"/>
      <c r="Q33" s="51"/>
    </row>
    <row r="34" spans="2:17" x14ac:dyDescent="0.35">
      <c r="B34" s="48">
        <v>4.3799999999999999E-2</v>
      </c>
      <c r="C34" s="50">
        <v>25545</v>
      </c>
      <c r="D34" s="50">
        <v>33878</v>
      </c>
      <c r="E34" s="50">
        <v>44415</v>
      </c>
      <c r="F34" s="50">
        <v>55931</v>
      </c>
      <c r="G34" s="50">
        <v>68814</v>
      </c>
      <c r="H34" s="50">
        <v>81767</v>
      </c>
      <c r="I34" s="50"/>
      <c r="J34" s="50"/>
      <c r="K34" s="50"/>
      <c r="L34" s="50"/>
      <c r="M34" s="50"/>
      <c r="N34" s="50"/>
      <c r="O34" s="50"/>
      <c r="P34" s="50"/>
      <c r="Q34" s="51"/>
    </row>
    <row r="35" spans="2:17" x14ac:dyDescent="0.35">
      <c r="B35" s="48">
        <v>5.04E-2</v>
      </c>
      <c r="C35" s="50">
        <v>31606</v>
      </c>
      <c r="D35" s="50">
        <v>40106</v>
      </c>
      <c r="E35" s="50">
        <v>51222</v>
      </c>
      <c r="F35" s="50">
        <v>63607</v>
      </c>
      <c r="G35" s="50">
        <v>77927</v>
      </c>
      <c r="H35" s="50">
        <v>92344</v>
      </c>
      <c r="I35" s="50"/>
      <c r="J35" s="50"/>
      <c r="K35" s="50"/>
      <c r="L35" s="50"/>
      <c r="M35" s="50"/>
      <c r="N35" s="50"/>
      <c r="O35" s="50"/>
      <c r="P35" s="50"/>
      <c r="Q35" s="51"/>
    </row>
    <row r="36" spans="2:17" x14ac:dyDescent="0.35">
      <c r="B36" s="48">
        <v>5.7099999999999998E-2</v>
      </c>
      <c r="C36" s="50">
        <v>38001</v>
      </c>
      <c r="D36" s="50">
        <v>46524</v>
      </c>
      <c r="E36" s="50">
        <v>57997</v>
      </c>
      <c r="F36" s="50">
        <v>71021</v>
      </c>
      <c r="G36" s="50">
        <v>86627</v>
      </c>
      <c r="H36" s="50">
        <v>102359</v>
      </c>
      <c r="I36" s="50"/>
      <c r="J36" s="50"/>
      <c r="K36" s="50"/>
      <c r="L36" s="50"/>
      <c r="M36" s="50"/>
      <c r="N36" s="50"/>
      <c r="O36" s="50"/>
      <c r="P36" s="50"/>
      <c r="Q36" s="51"/>
    </row>
    <row r="37" spans="2:17" x14ac:dyDescent="0.35">
      <c r="B37" s="48">
        <v>6.3700000000000007E-2</v>
      </c>
      <c r="C37" s="50">
        <v>44541</v>
      </c>
      <c r="D37" s="50">
        <v>52967</v>
      </c>
      <c r="E37" s="50">
        <v>64594</v>
      </c>
      <c r="F37" s="50">
        <v>78023</v>
      </c>
      <c r="G37" s="50">
        <v>94743</v>
      </c>
      <c r="H37" s="50">
        <v>111620</v>
      </c>
      <c r="I37" s="50"/>
      <c r="J37" s="50"/>
      <c r="K37" s="50"/>
      <c r="L37" s="50"/>
      <c r="M37" s="50"/>
      <c r="N37" s="50"/>
      <c r="O37" s="50"/>
      <c r="P37" s="50"/>
      <c r="Q37" s="51"/>
    </row>
    <row r="38" spans="2:17" x14ac:dyDescent="0.35">
      <c r="B38" s="48">
        <v>7.0400000000000004E-2</v>
      </c>
      <c r="C38" s="50">
        <v>50989</v>
      </c>
      <c r="D38" s="50">
        <v>59211</v>
      </c>
      <c r="E38" s="50">
        <v>70798</v>
      </c>
      <c r="F38" s="50">
        <v>84400</v>
      </c>
      <c r="G38" s="50">
        <v>102031</v>
      </c>
      <c r="H38" s="50">
        <v>119847</v>
      </c>
      <c r="I38" s="50"/>
      <c r="J38" s="50"/>
      <c r="K38" s="50"/>
      <c r="L38" s="50"/>
      <c r="M38" s="50"/>
      <c r="N38" s="50"/>
      <c r="O38" s="50"/>
      <c r="P38" s="50"/>
      <c r="Q38" s="51"/>
    </row>
    <row r="39" spans="2:17" x14ac:dyDescent="0.35">
      <c r="B39" s="48">
        <v>7.6999999999999999E-2</v>
      </c>
      <c r="C39" s="50">
        <v>57132</v>
      </c>
      <c r="D39" s="50">
        <v>65063</v>
      </c>
      <c r="E39" s="50">
        <v>76441</v>
      </c>
      <c r="F39" s="50">
        <v>89997</v>
      </c>
      <c r="G39" s="50">
        <v>108322</v>
      </c>
      <c r="H39" s="50">
        <v>126858</v>
      </c>
      <c r="I39" s="50"/>
      <c r="J39" s="50"/>
      <c r="K39" s="50"/>
      <c r="L39" s="50"/>
      <c r="M39" s="50"/>
      <c r="N39" s="50"/>
      <c r="O39" s="50"/>
      <c r="P39" s="50"/>
      <c r="Q39" s="51"/>
    </row>
    <row r="40" spans="2:17" x14ac:dyDescent="0.35">
      <c r="B40" s="48">
        <v>8.3699999999999997E-2</v>
      </c>
      <c r="C40" s="50">
        <v>62876</v>
      </c>
      <c r="D40" s="50">
        <v>70457</v>
      </c>
      <c r="E40" s="50">
        <v>81500</v>
      </c>
      <c r="F40" s="50">
        <v>94836</v>
      </c>
      <c r="G40" s="50">
        <v>113663</v>
      </c>
      <c r="H40" s="50">
        <v>132724</v>
      </c>
      <c r="I40" s="50"/>
      <c r="J40" s="50"/>
      <c r="K40" s="50"/>
      <c r="L40" s="50"/>
      <c r="M40" s="50"/>
      <c r="N40" s="50"/>
      <c r="O40" s="50"/>
      <c r="P40" s="50"/>
      <c r="Q40" s="51"/>
    </row>
    <row r="41" spans="2:17" x14ac:dyDescent="0.35">
      <c r="B41" s="48">
        <v>9.0300000000000005E-2</v>
      </c>
      <c r="C41" s="50">
        <v>68166</v>
      </c>
      <c r="D41" s="50">
        <v>75362</v>
      </c>
      <c r="E41" s="50">
        <v>85983</v>
      </c>
      <c r="F41" s="50">
        <v>98966</v>
      </c>
      <c r="G41" s="50">
        <v>118130</v>
      </c>
      <c r="H41" s="50">
        <v>137547</v>
      </c>
      <c r="I41" s="50"/>
      <c r="J41" s="50"/>
      <c r="K41" s="50"/>
      <c r="L41" s="50"/>
      <c r="M41" s="50"/>
      <c r="N41" s="50"/>
      <c r="O41" s="50"/>
      <c r="P41" s="50"/>
      <c r="Q41" s="51"/>
    </row>
    <row r="42" spans="2:17" x14ac:dyDescent="0.35">
      <c r="B42" s="48">
        <v>9.7000000000000003E-2</v>
      </c>
      <c r="C42" s="50">
        <v>72939</v>
      </c>
      <c r="D42" s="50">
        <v>79732</v>
      </c>
      <c r="E42" s="50">
        <v>89869</v>
      </c>
      <c r="F42" s="50">
        <v>102399</v>
      </c>
      <c r="G42" s="50">
        <v>121753</v>
      </c>
      <c r="H42" s="50">
        <v>141374</v>
      </c>
      <c r="I42" s="50"/>
      <c r="J42" s="50"/>
      <c r="K42" s="50"/>
      <c r="L42" s="50"/>
      <c r="M42" s="50"/>
      <c r="N42" s="50"/>
      <c r="O42" s="50"/>
      <c r="P42" s="50"/>
      <c r="Q42" s="51"/>
    </row>
    <row r="43" spans="2:17" x14ac:dyDescent="0.35">
      <c r="B43" s="48">
        <v>0.1036</v>
      </c>
      <c r="C43" s="50">
        <v>77129</v>
      </c>
      <c r="D43" s="50">
        <v>83508</v>
      </c>
      <c r="E43" s="50">
        <v>93118</v>
      </c>
      <c r="F43" s="50">
        <v>105117</v>
      </c>
      <c r="G43" s="50">
        <v>124526</v>
      </c>
      <c r="H43" s="50">
        <v>144211</v>
      </c>
      <c r="I43" s="50"/>
      <c r="J43" s="50"/>
      <c r="K43" s="50"/>
      <c r="L43" s="50"/>
      <c r="M43" s="50"/>
      <c r="N43" s="50"/>
      <c r="O43" s="50"/>
      <c r="P43" s="50"/>
      <c r="Q43" s="51"/>
    </row>
    <row r="44" spans="2:17" x14ac:dyDescent="0.35">
      <c r="B44" s="48">
        <v>0.1103</v>
      </c>
      <c r="C44" s="50">
        <v>80682</v>
      </c>
      <c r="D44" s="50">
        <v>86644</v>
      </c>
      <c r="E44" s="50">
        <v>95700</v>
      </c>
      <c r="F44" s="50">
        <v>107110</v>
      </c>
      <c r="G44" s="50">
        <v>126446</v>
      </c>
      <c r="H44" s="50">
        <v>146066</v>
      </c>
      <c r="I44" s="50"/>
      <c r="J44" s="50"/>
      <c r="K44" s="50"/>
      <c r="L44" s="50"/>
      <c r="M44" s="50"/>
      <c r="N44" s="50"/>
      <c r="O44" s="50"/>
      <c r="P44" s="50"/>
      <c r="Q44" s="51"/>
    </row>
    <row r="45" spans="2:17" x14ac:dyDescent="0.35">
      <c r="B45" s="48">
        <v>0.1169</v>
      </c>
      <c r="C45" s="50">
        <v>83565</v>
      </c>
      <c r="D45" s="50">
        <v>89112</v>
      </c>
      <c r="E45" s="50">
        <v>97599</v>
      </c>
      <c r="F45" s="50">
        <v>108381</v>
      </c>
      <c r="G45" s="50">
        <v>127529</v>
      </c>
      <c r="H45" s="50">
        <v>146964</v>
      </c>
      <c r="I45" s="50"/>
      <c r="J45" s="50"/>
      <c r="K45" s="50"/>
      <c r="L45" s="50"/>
      <c r="M45" s="50"/>
      <c r="N45" s="50"/>
      <c r="O45" s="50"/>
      <c r="P45" s="50"/>
      <c r="Q45" s="51"/>
    </row>
    <row r="46" spans="2:17" x14ac:dyDescent="0.35">
      <c r="B46" s="48">
        <v>0.1235</v>
      </c>
      <c r="C46" s="50">
        <v>85760</v>
      </c>
      <c r="D46" s="50">
        <v>90900</v>
      </c>
      <c r="E46" s="50">
        <v>98814</v>
      </c>
      <c r="F46" s="50">
        <v>108942</v>
      </c>
      <c r="G46" s="50">
        <v>127799</v>
      </c>
      <c r="H46" s="50">
        <v>146940</v>
      </c>
      <c r="I46" s="50"/>
      <c r="J46" s="50"/>
      <c r="K46" s="50"/>
      <c r="L46" s="50"/>
      <c r="M46" s="50"/>
      <c r="N46" s="50"/>
      <c r="O46" s="50"/>
      <c r="P46" s="50"/>
      <c r="Q46" s="51"/>
    </row>
    <row r="47" spans="2:17" x14ac:dyDescent="0.35">
      <c r="B47" s="48">
        <v>0.13020000000000001</v>
      </c>
      <c r="C47" s="50">
        <v>87219</v>
      </c>
      <c r="D47" s="50">
        <v>91960</v>
      </c>
      <c r="E47" s="50">
        <v>99302</v>
      </c>
      <c r="F47" s="50">
        <v>108759</v>
      </c>
      <c r="G47" s="50">
        <v>127221</v>
      </c>
      <c r="H47" s="50">
        <v>145963</v>
      </c>
      <c r="I47" s="50"/>
      <c r="J47" s="50"/>
      <c r="K47" s="50"/>
      <c r="L47" s="50"/>
      <c r="M47" s="50"/>
      <c r="N47" s="50"/>
      <c r="O47" s="50"/>
      <c r="P47" s="50"/>
      <c r="Q47" s="51"/>
    </row>
    <row r="48" spans="2:17" x14ac:dyDescent="0.35">
      <c r="B48" s="48">
        <v>0.1368</v>
      </c>
      <c r="C48" s="50">
        <v>87823</v>
      </c>
      <c r="D48" s="50">
        <v>92172</v>
      </c>
      <c r="E48" s="50">
        <v>98939</v>
      </c>
      <c r="F48" s="50">
        <v>107710</v>
      </c>
      <c r="G48" s="50">
        <v>125658</v>
      </c>
      <c r="H48" s="50">
        <v>143879</v>
      </c>
      <c r="I48" s="50"/>
      <c r="J48" s="50"/>
      <c r="K48" s="50"/>
      <c r="L48" s="50"/>
      <c r="M48" s="50"/>
      <c r="N48" s="50"/>
      <c r="O48" s="50"/>
      <c r="P48" s="50"/>
      <c r="Q48" s="51"/>
    </row>
    <row r="49" spans="2:17" x14ac:dyDescent="0.35">
      <c r="B49" s="48">
        <v>0.14349999999999999</v>
      </c>
      <c r="C49" s="50">
        <v>87452</v>
      </c>
      <c r="D49" s="50">
        <v>91411</v>
      </c>
      <c r="E49" s="50">
        <v>97600</v>
      </c>
      <c r="F49" s="50">
        <v>105666</v>
      </c>
      <c r="G49" s="50">
        <v>122969</v>
      </c>
      <c r="H49" s="50">
        <v>140533</v>
      </c>
      <c r="I49" s="50"/>
      <c r="J49" s="50"/>
      <c r="K49" s="50"/>
      <c r="L49" s="50"/>
      <c r="M49" s="50"/>
      <c r="N49" s="50"/>
      <c r="O49" s="50"/>
      <c r="P49" s="50"/>
      <c r="Q49" s="51"/>
    </row>
    <row r="50" spans="2:17" x14ac:dyDescent="0.35">
      <c r="B50" s="48">
        <v>0.15010000000000001</v>
      </c>
      <c r="C50" s="50">
        <v>86073</v>
      </c>
      <c r="D50" s="50">
        <v>89648</v>
      </c>
      <c r="E50" s="50">
        <v>95261</v>
      </c>
      <c r="F50" s="50">
        <v>102611</v>
      </c>
      <c r="G50" s="50">
        <v>119139</v>
      </c>
      <c r="H50" s="50">
        <v>135914</v>
      </c>
      <c r="I50" s="50"/>
      <c r="J50" s="50"/>
      <c r="K50" s="50"/>
      <c r="L50" s="50"/>
      <c r="M50" s="50"/>
      <c r="N50" s="50"/>
      <c r="O50" s="50"/>
      <c r="P50" s="50"/>
      <c r="Q50" s="51"/>
    </row>
    <row r="51" spans="2:17" x14ac:dyDescent="0.35">
      <c r="B51" s="48">
        <v>0.15679999999999999</v>
      </c>
      <c r="C51" s="50">
        <v>83721</v>
      </c>
      <c r="D51" s="50">
        <v>86922</v>
      </c>
      <c r="E51" s="50">
        <v>91967</v>
      </c>
      <c r="F51" s="50">
        <v>98603</v>
      </c>
      <c r="G51" s="50">
        <v>114240</v>
      </c>
      <c r="H51" s="50">
        <v>130108</v>
      </c>
      <c r="I51" s="50"/>
      <c r="J51" s="50"/>
      <c r="K51" s="50"/>
      <c r="L51" s="50"/>
      <c r="M51" s="50"/>
      <c r="N51" s="50"/>
      <c r="O51" s="50"/>
      <c r="P51" s="50"/>
      <c r="Q51" s="51"/>
    </row>
    <row r="52" spans="2:17" x14ac:dyDescent="0.35">
      <c r="B52" s="48">
        <v>0.16339999999999999</v>
      </c>
      <c r="C52" s="50">
        <v>80335</v>
      </c>
      <c r="D52" s="50">
        <v>83172</v>
      </c>
      <c r="E52" s="50">
        <v>87657</v>
      </c>
      <c r="F52" s="50">
        <v>93582</v>
      </c>
      <c r="G52" s="50">
        <v>108207</v>
      </c>
      <c r="H52" s="50">
        <v>123044</v>
      </c>
      <c r="I52" s="50"/>
      <c r="J52" s="50"/>
      <c r="K52" s="50"/>
      <c r="L52" s="50"/>
      <c r="M52" s="50"/>
      <c r="N52" s="50"/>
      <c r="O52" s="50"/>
      <c r="P52" s="50"/>
      <c r="Q52" s="51"/>
    </row>
    <row r="53" spans="2:17" x14ac:dyDescent="0.35">
      <c r="B53" s="48">
        <v>0.1701</v>
      </c>
      <c r="C53" s="50">
        <v>75478</v>
      </c>
      <c r="D53" s="50">
        <v>77946</v>
      </c>
      <c r="E53" s="50">
        <v>81861</v>
      </c>
      <c r="F53" s="50">
        <v>87052</v>
      </c>
      <c r="G53" s="50">
        <v>100470</v>
      </c>
      <c r="H53" s="50">
        <v>114079</v>
      </c>
      <c r="I53" s="50"/>
      <c r="J53" s="50"/>
      <c r="K53" s="50"/>
      <c r="L53" s="50"/>
      <c r="M53" s="50"/>
      <c r="N53" s="50"/>
      <c r="O53" s="50"/>
      <c r="P53" s="50"/>
      <c r="Q53" s="51"/>
    </row>
    <row r="54" spans="2:17" x14ac:dyDescent="0.35">
      <c r="B54" s="48">
        <v>0.1767</v>
      </c>
      <c r="C54" s="50">
        <v>68589</v>
      </c>
      <c r="D54" s="50">
        <v>70671</v>
      </c>
      <c r="E54" s="50">
        <v>73984</v>
      </c>
      <c r="F54" s="50">
        <v>78392</v>
      </c>
      <c r="G54" s="50">
        <v>90319</v>
      </c>
      <c r="H54" s="50">
        <v>102413</v>
      </c>
      <c r="I54" s="50"/>
      <c r="J54" s="50"/>
      <c r="K54" s="50"/>
      <c r="L54" s="50"/>
      <c r="M54" s="50"/>
      <c r="N54" s="50"/>
      <c r="O54" s="50"/>
      <c r="P54" s="50"/>
      <c r="Q54" s="51"/>
    </row>
    <row r="55" spans="2:17" x14ac:dyDescent="0.35">
      <c r="B55" s="48">
        <v>0.18340000000000001</v>
      </c>
      <c r="C55" s="50">
        <v>59318</v>
      </c>
      <c r="D55" s="50">
        <v>60993</v>
      </c>
      <c r="E55" s="50">
        <v>63667</v>
      </c>
      <c r="F55" s="50">
        <v>67236</v>
      </c>
      <c r="G55" s="50">
        <v>77342</v>
      </c>
      <c r="H55" s="50">
        <v>87585</v>
      </c>
      <c r="I55" s="50"/>
      <c r="J55" s="50"/>
      <c r="K55" s="50"/>
      <c r="L55" s="50"/>
      <c r="M55" s="50"/>
      <c r="N55" s="50"/>
      <c r="O55" s="50"/>
      <c r="P55" s="50"/>
      <c r="Q55" s="51"/>
    </row>
    <row r="56" spans="2:17" x14ac:dyDescent="0.35">
      <c r="B56" s="48">
        <v>0.19</v>
      </c>
      <c r="C56" s="50">
        <v>47617</v>
      </c>
      <c r="D56" s="50">
        <v>48872</v>
      </c>
      <c r="E56" s="50">
        <v>50879</v>
      </c>
      <c r="F56" s="50">
        <v>53568</v>
      </c>
      <c r="G56" s="50">
        <v>61526</v>
      </c>
      <c r="H56" s="50">
        <v>69592</v>
      </c>
      <c r="I56" s="50"/>
      <c r="J56" s="50"/>
      <c r="K56" s="50"/>
      <c r="L56" s="50"/>
      <c r="M56" s="50"/>
      <c r="N56" s="50"/>
      <c r="O56" s="50"/>
      <c r="P56" s="50"/>
      <c r="Q56" s="51"/>
    </row>
    <row r="57" spans="2:17" ht="15" thickBot="1" x14ac:dyDescent="0.4">
      <c r="B57" s="60">
        <v>0.19670000000000001</v>
      </c>
      <c r="C57" s="55">
        <v>33458</v>
      </c>
      <c r="D57" s="55">
        <v>34285</v>
      </c>
      <c r="E57" s="55">
        <v>35609</v>
      </c>
      <c r="F57" s="55">
        <v>37388</v>
      </c>
      <c r="G57" s="55">
        <v>42884</v>
      </c>
      <c r="H57" s="55">
        <v>48451</v>
      </c>
      <c r="I57" s="55"/>
      <c r="J57" s="55"/>
      <c r="K57" s="55"/>
      <c r="L57" s="55"/>
      <c r="M57" s="55"/>
      <c r="N57" s="55"/>
      <c r="O57" s="55"/>
      <c r="P57" s="55"/>
      <c r="Q57" s="5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1:W22"/>
  <sheetViews>
    <sheetView workbookViewId="0">
      <selection activeCell="C24" sqref="C24"/>
    </sheetView>
  </sheetViews>
  <sheetFormatPr defaultRowHeight="14.5" x14ac:dyDescent="0.35"/>
  <cols>
    <col min="5" max="5" width="12.7265625" bestFit="1" customWidth="1"/>
    <col min="6" max="6" width="12.81640625" bestFit="1" customWidth="1"/>
    <col min="7" max="7" width="12" bestFit="1" customWidth="1"/>
    <col min="8" max="10" width="9.26953125" bestFit="1" customWidth="1"/>
  </cols>
  <sheetData>
    <row r="1" spans="2:23" x14ac:dyDescent="0.35">
      <c r="E1" t="s">
        <v>54</v>
      </c>
      <c r="F1" t="s">
        <v>7</v>
      </c>
      <c r="G1" t="s">
        <v>8</v>
      </c>
      <c r="H1" t="s">
        <v>9</v>
      </c>
      <c r="I1" t="s">
        <v>10</v>
      </c>
      <c r="J1" t="s">
        <v>14</v>
      </c>
      <c r="O1" t="s">
        <v>4</v>
      </c>
    </row>
    <row r="2" spans="2:23" x14ac:dyDescent="0.35">
      <c r="B2" t="s">
        <v>6</v>
      </c>
      <c r="C2" t="s">
        <v>5</v>
      </c>
      <c r="D2" t="s">
        <v>11</v>
      </c>
      <c r="E2" t="s">
        <v>53</v>
      </c>
      <c r="F2">
        <f t="array" ref="F2:J2">LINEST($C$3:$C$14,$B$3:$B$14^{1,2,3,4})</f>
        <v>-5.3500065541115732E-7</v>
      </c>
      <c r="G2">
        <v>1.0613490988644552E-4</v>
      </c>
      <c r="H2">
        <v>-7.4285620249907452E-3</v>
      </c>
      <c r="I2">
        <v>0.53152785410563419</v>
      </c>
      <c r="J2">
        <v>-8.6937668286608982E-2</v>
      </c>
      <c r="O2" s="25" t="s">
        <v>1</v>
      </c>
    </row>
    <row r="3" spans="2:23" x14ac:dyDescent="0.35">
      <c r="B3">
        <v>0</v>
      </c>
      <c r="C3" s="26">
        <v>0</v>
      </c>
      <c r="D3" s="26">
        <f>C3*B3*PI()/30</f>
        <v>0</v>
      </c>
    </row>
    <row r="4" spans="2:23" x14ac:dyDescent="0.35">
      <c r="B4">
        <v>20</v>
      </c>
      <c r="C4" s="26">
        <v>8</v>
      </c>
      <c r="D4" s="26">
        <f>C4*B4*PI()/30</f>
        <v>16.755160819145562</v>
      </c>
      <c r="V4" t="s">
        <v>3</v>
      </c>
      <c r="W4" t="s">
        <v>2</v>
      </c>
    </row>
    <row r="5" spans="2:23" x14ac:dyDescent="0.35">
      <c r="B5">
        <v>40</v>
      </c>
      <c r="C5" s="26">
        <v>15</v>
      </c>
      <c r="D5" s="26">
        <f>C5*B5*(PI()/30)</f>
        <v>62.831853071795862</v>
      </c>
      <c r="V5">
        <v>1</v>
      </c>
      <c r="W5">
        <f>1.35581794833</f>
        <v>1.3558179483299999</v>
      </c>
    </row>
    <row r="6" spans="2:23" x14ac:dyDescent="0.35">
      <c r="B6">
        <v>60</v>
      </c>
      <c r="C6" s="26">
        <v>21.5</v>
      </c>
      <c r="D6" s="26">
        <f t="shared" ref="D6:D14" si="0">C6*B6*PI()/30</f>
        <v>135.0884841043611</v>
      </c>
      <c r="V6">
        <v>150</v>
      </c>
      <c r="W6">
        <f>W5*V6</f>
        <v>203.37269224949998</v>
      </c>
    </row>
    <row r="7" spans="2:23" x14ac:dyDescent="0.35">
      <c r="B7">
        <v>80</v>
      </c>
      <c r="C7" s="26">
        <v>26.8</v>
      </c>
      <c r="D7" s="26">
        <f t="shared" si="0"/>
        <v>224.51915497655054</v>
      </c>
    </row>
    <row r="8" spans="2:23" x14ac:dyDescent="0.35">
      <c r="B8">
        <v>85</v>
      </c>
      <c r="C8" s="26">
        <v>28.1</v>
      </c>
      <c r="D8" s="26">
        <f t="shared" si="0"/>
        <v>250.12313510330736</v>
      </c>
    </row>
    <row r="9" spans="2:23" x14ac:dyDescent="0.35">
      <c r="B9">
        <v>90</v>
      </c>
      <c r="C9" s="26">
        <v>29.8</v>
      </c>
      <c r="D9" s="26">
        <f t="shared" si="0"/>
        <v>280.85838323092753</v>
      </c>
    </row>
    <row r="10" spans="2:23" x14ac:dyDescent="0.35">
      <c r="B10">
        <v>100</v>
      </c>
      <c r="C10" s="26">
        <v>31.8</v>
      </c>
      <c r="D10" s="26">
        <f t="shared" si="0"/>
        <v>333.00882128051802</v>
      </c>
    </row>
    <row r="11" spans="2:23" x14ac:dyDescent="0.35">
      <c r="B11">
        <v>110</v>
      </c>
      <c r="C11" s="26">
        <v>31.8</v>
      </c>
      <c r="D11" s="26">
        <f t="shared" si="0"/>
        <v>366.30970340856987</v>
      </c>
    </row>
    <row r="12" spans="2:23" x14ac:dyDescent="0.35">
      <c r="B12">
        <v>120</v>
      </c>
      <c r="C12" s="26">
        <v>29.8</v>
      </c>
      <c r="D12" s="26">
        <f t="shared" si="0"/>
        <v>374.4778443079033</v>
      </c>
    </row>
    <row r="13" spans="2:23" x14ac:dyDescent="0.35">
      <c r="B13">
        <v>130</v>
      </c>
      <c r="C13" s="26">
        <v>23</v>
      </c>
      <c r="D13" s="26">
        <f t="shared" si="0"/>
        <v>313.11206780778269</v>
      </c>
    </row>
    <row r="14" spans="2:23" x14ac:dyDescent="0.35">
      <c r="B14">
        <v>150</v>
      </c>
      <c r="C14" s="26">
        <v>0</v>
      </c>
      <c r="D14" s="26">
        <f t="shared" si="0"/>
        <v>0</v>
      </c>
    </row>
    <row r="15" spans="2:23" x14ac:dyDescent="0.35">
      <c r="C15" s="26"/>
      <c r="D15" s="26"/>
      <c r="E15" t="s">
        <v>54</v>
      </c>
      <c r="F15" t="s">
        <v>7</v>
      </c>
      <c r="G15" t="s">
        <v>8</v>
      </c>
      <c r="H15" t="s">
        <v>9</v>
      </c>
      <c r="I15" t="s">
        <v>10</v>
      </c>
      <c r="J15" t="s">
        <v>14</v>
      </c>
    </row>
    <row r="16" spans="2:23" x14ac:dyDescent="0.35">
      <c r="C16" s="26"/>
      <c r="D16" s="26"/>
      <c r="E16" t="s">
        <v>55</v>
      </c>
      <c r="F16">
        <f t="array" ref="F16:J16">LINEST($D$3:$D$14,$B$3:$B$14^{1,2,3,4})</f>
        <v>-1.0192275893841418E-5</v>
      </c>
      <c r="G16">
        <v>2.0628495524477571E-3</v>
      </c>
      <c r="H16">
        <v>-9.8585881603892589E-2</v>
      </c>
      <c r="I16">
        <v>2.8042808360156237</v>
      </c>
      <c r="J16">
        <v>-3.5832793348258747</v>
      </c>
      <c r="V16" t="s">
        <v>12</v>
      </c>
      <c r="W16" t="s">
        <v>13</v>
      </c>
    </row>
    <row r="17" spans="3:23" x14ac:dyDescent="0.35">
      <c r="C17" s="26"/>
      <c r="D17" s="26"/>
      <c r="V17">
        <v>1</v>
      </c>
      <c r="W17">
        <f>745.699872</f>
        <v>745.69987200000003</v>
      </c>
    </row>
    <row r="18" spans="3:23" x14ac:dyDescent="0.35">
      <c r="C18" s="26"/>
      <c r="D18" s="26"/>
    </row>
    <row r="19" spans="3:23" x14ac:dyDescent="0.35">
      <c r="C19" s="26"/>
      <c r="D19" s="26"/>
    </row>
    <row r="20" spans="3:23" x14ac:dyDescent="0.35">
      <c r="C20" s="26"/>
      <c r="D20" s="26"/>
    </row>
    <row r="21" spans="3:23" x14ac:dyDescent="0.35">
      <c r="C21" s="26"/>
      <c r="D21" s="26"/>
    </row>
    <row r="22" spans="3:23" x14ac:dyDescent="0.35">
      <c r="C22" s="26"/>
      <c r="D22" s="26"/>
    </row>
  </sheetData>
  <hyperlinks>
    <hyperlink ref="O2" r:id="rId1"/>
  </hyperlinks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drive340m</vt:lpstr>
      <vt:lpstr>nbe400fast</vt:lpstr>
      <vt:lpstr>200</vt:lpstr>
      <vt:lpstr>280i</vt:lpstr>
      <vt:lpstr>300i</vt:lpstr>
      <vt:lpstr>320i</vt:lpstr>
      <vt:lpstr>340i</vt:lpstr>
      <vt:lpstr>440</vt:lpstr>
      <vt:lpstr>340m</vt:lpstr>
      <vt:lpstr>Sizes</vt:lpstr>
      <vt:lpstr>load</vt:lpstr>
      <vt:lpstr>400</vt:lpstr>
      <vt:lpstr>hEng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Montero</dc:creator>
  <cp:lastModifiedBy>DiegoSCMO</cp:lastModifiedBy>
  <dcterms:created xsi:type="dcterms:W3CDTF">2016-06-30T21:01:44Z</dcterms:created>
  <dcterms:modified xsi:type="dcterms:W3CDTF">2017-02-20T23:56:01Z</dcterms:modified>
</cp:coreProperties>
</file>